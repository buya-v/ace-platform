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rdware" sheetId="1" state="visible" r:id="rId3"/>
    <sheet name="Software" sheetId="2" state="visible" r:id="rId4"/>
    <sheet name="OpEx" sheetId="3" state="visible" r:id="rId5"/>
    <sheet name="TCO Summary" sheetId="4" state="visible" r:id="rId6"/>
    <sheet name="Sizing 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<sst xmlns="http://schemas.openxmlformats.org/spreadsheetml/2006/main" count="472" uniqueCount="415">
  <si>
    <t xml:space="preserve">HARDWARE CAPITAL EXPENDITURE  —  On-Premise ACE Platform @ 1,000 Orders/Day</t>
  </si>
  <si>
    <t xml:space="preserve">Item</t>
  </si>
  <si>
    <t xml:space="preserve">Qty</t>
  </si>
  <si>
    <t xml:space="preserve">Unit Cost (USD)</t>
  </si>
  <si>
    <t xml:space="preserve">Yr2 Refresh %</t>
  </si>
  <si>
    <t xml:space="preserve">Year 1 Total</t>
  </si>
  <si>
    <t xml:space="preserve">Year 2 Total</t>
  </si>
  <si>
    <t xml:space="preserve">Year 3 Total</t>
  </si>
  <si>
    <t xml:space="preserve">Specification / Notes</t>
  </si>
  <si>
    <t xml:space="preserve">  APPLICATION &amp; DATABASE SERVERS</t>
  </si>
  <si>
    <t xml:space="preserve">App server — Dell PowerEdge R650 (2×Xeon Silver 4314, 128GB RAM, 2×960GB SSD RAID-1)</t>
  </si>
  <si>
    <t xml:space="preserve">Primary + HA standby. Hosts: order API, auth, KYC, market data, reporting, session mgr</t>
  </si>
  <si>
    <t xml:space="preserve">Database server — Dell PowerEdge R750 (2×Xeon Gold 5318Y, 512GB RAM, 4×3.84TB NVMe)</t>
  </si>
  <si>
    <t xml:space="preserve">Primary + standby. PostgreSQL 15 + TimescaleDB tick store. NVMe critical for WAL speed</t>
  </si>
  <si>
    <t xml:space="preserve">Matching engine server — Supermicro 1U (2×Xeon Gold 6342, 256GB RAM, 2×NVMe SSD)</t>
  </si>
  <si>
    <t xml:space="preserve">Dedicated CPU-opt nodes for CLOB + order matching. N+1 mandatory. Never under-spec.</t>
  </si>
  <si>
    <t xml:space="preserve">Kafka broker — Dell R650 (2×Xeon Silver, 128GB RAM, 6×2TB HDD RAID-10)</t>
  </si>
  <si>
    <t xml:space="preserve">3-node Kafka cluster. Replication factor 3. Hosts MSK-equivalent for all event streams</t>
  </si>
  <si>
    <t xml:space="preserve">Backup / archive server — Dell PowerEdge R540 (1×Xeon Silver, 64GB RAM, 4×4TB HDD)</t>
  </si>
  <si>
    <t xml:space="preserve">Full system backup + off-site Veeam replication target. Doubles as DR hot-standby</t>
  </si>
  <si>
    <t xml:space="preserve">Monitoring / bastion server — Dell R350 (1×Xeon E, 32GB RAM)</t>
  </si>
  <si>
    <t xml:space="preserve">Grafana, Prometheus, ELK stack, GitLab runner, Ansible. Out-of-band management</t>
  </si>
  <si>
    <t xml:space="preserve">  NETWORK EQUIPMENT</t>
  </si>
  <si>
    <t xml:space="preserve">Core switch — Cisco Catalyst 9300L-48T-4G (L3, 48-port GbE, 4×10G SFP+) — pair</t>
  </si>
  <si>
    <t xml:space="preserve">Redundant HSRP active/standby pair. 10GbE uplinks to all servers. VLAN-segmented tiers</t>
  </si>
  <si>
    <t xml:space="preserve">Access switch — Cisco Catalyst 9200L-24T (L2, 24-port) — pair</t>
  </si>
  <si>
    <t xml:space="preserve">Top-of-rack access layer. One per rack. Uplink to core via 10GbE LAG</t>
  </si>
  <si>
    <t xml:space="preserve">Next-gen firewall — Fortinet FortiGate 100F (2Gbps NGFW, IPS, WAF) — HA pair</t>
  </si>
  <si>
    <t xml:space="preserve">Active/passive HA. WAF, IPS, URL filter, SSL inspection. Regulatory security baseline</t>
  </si>
  <si>
    <t xml:space="preserve">Router — Cisco ISR 4321 (dual WAN, BGP, QoS)</t>
  </si>
  <si>
    <t xml:space="preserve">Dual-ISP failover via BGP. QoS prioritises trading traffic over management traffic</t>
  </si>
  <si>
    <t xml:space="preserve">10GbE SFP+ modules, DAC cables, 1GbE patch cables (bulk)</t>
  </si>
  <si>
    <t xml:space="preserve">20× SFP+ DAC + 20× fibre SFPs + 50× Cat6A patch cables. Full structured cabling</t>
  </si>
  <si>
    <t xml:space="preserve">  STORAGE SYSTEMS</t>
  </si>
  <si>
    <t xml:space="preserve">NAS — Synology RS3621RPxs (12-bay, 2×10GbE, redundant PSU) + 8×18TB Exos</t>
  </si>
  <si>
    <t xml:space="preserve">RAID-6 → 96TB usable per unit. Warehouse docs, audit logs, reports, database backups</t>
  </si>
  <si>
    <t xml:space="preserve">Tape library — Quantum Scalar i3 LTO-9 (2-drive, 50-slot autoloader)</t>
  </si>
  <si>
    <t xml:space="preserve">7-year regulatory archive. 18TB native/cartridge. Air-gapped, tamper-evident, off-site copy</t>
  </si>
  <si>
    <t xml:space="preserve">LTO-9 tape cartridges (50-pack × 2 sets)</t>
  </si>
  <si>
    <t xml:space="preserve">100 carts = ~1.8PB native. 3-year initial supply. Monthly off-site rotation to vault</t>
  </si>
  <si>
    <t xml:space="preserve">Spare enterprise NVMe — Samsung PM9A3 3.84TB (pool of 4)</t>
  </si>
  <si>
    <t xml:space="preserve">Hot-spare pool for database nodes. Same-day swap on failure keeps RTO &lt; 2hrs</t>
  </si>
  <si>
    <t xml:space="preserve">  UPS &amp; POWER INFRASTRUCTURE</t>
  </si>
  <si>
    <t xml:space="preserve">UPS — APC Smart-UPS Ultra 5kVA Li-Ion rack-mount (pair)</t>
  </si>
  <si>
    <t xml:space="preserve">~20 min runtime at full 5kW load. Enough for graceful shutdown + generator start</t>
  </si>
  <si>
    <t xml:space="preserve">Monitored rack PDU — APC AP8958 Switched 32A (2 per rack × 2 racks)</t>
  </si>
  <si>
    <t xml:space="preserve">Per-outlet current monitoring. Remote power cycle for locked-up servers without on-site visit</t>
  </si>
  <si>
    <t xml:space="preserve">Standby diesel generator — 20kVA (automatic transfer switch included)</t>
  </si>
  <si>
    <t xml:space="preserve">Full site load at 5.5kW = 27% of 20kVA rating. Ample headroom. Quarterly test run.</t>
  </si>
  <si>
    <t xml:space="preserve">  RACKS &amp; PHYSICAL INFRASTRUCTURE</t>
  </si>
  <si>
    <t xml:space="preserve">Server rack — APC NetShelter SX 42U 600mm with front/rear doors (pair)</t>
  </si>
  <si>
    <t xml:space="preserve">2 racks covers all servers + networking + UPS with 30% expansion headroom</t>
  </si>
  <si>
    <t xml:space="preserve">48-port Cat6A patch panel + structured cabling (per rack)</t>
  </si>
  <si>
    <t xml:space="preserve">All server-to-switch links pre-terminated. Cable management arms. Clean cable dress.</t>
  </si>
  <si>
    <t xml:space="preserve">KVM-over-IP console server — Raritan Dominion LX2-116 (16-port)</t>
  </si>
  <si>
    <t xml:space="preserve">Out-of-band management independent of production network. Required for remote DR ops</t>
  </si>
  <si>
    <t xml:space="preserve">Asset tagging, label printer, documentation kit</t>
  </si>
  <si>
    <t xml:space="preserve">Physical CMDB asset register. Every device QR-tagged with CMDB link</t>
  </si>
  <si>
    <t xml:space="preserve">  INSTALLATION &amp; SETUP LABOR</t>
  </si>
  <si>
    <t xml:space="preserve">Hardware racking, cabling, base OS installation (3-day on-site)</t>
  </si>
  <si>
    <t xml:space="preserve">Professional tech. Server racking, cable dress, RHEL install on all nodes, BIOS config</t>
  </si>
  <si>
    <t xml:space="preserve">Network design implementation &amp; testing (2-day)</t>
  </si>
  <si>
    <t xml:space="preserve">VLAN setup, firewall rules, BGP config, HSRP/failover testing, bandwidth measurement</t>
  </si>
  <si>
    <t xml:space="preserve">48-hour burn-in / stress test + performance baseline documentation</t>
  </si>
  <si>
    <t xml:space="preserve">Sustained load test before production handoff. Confirms no infant-mortality hardware failures</t>
  </si>
  <si>
    <t xml:space="preserve">TOTAL HARDWARE CAPEX</t>
  </si>
  <si>
    <t xml:space="preserve">SOFTWARE LICENSES &amp; SUBSCRIPTIONS</t>
  </si>
  <si>
    <t xml:space="preserve">Software / License</t>
  </si>
  <si>
    <t xml:space="preserve">Year 1 (USD)</t>
  </si>
  <si>
    <t xml:space="preserve">Year 2 (USD)</t>
  </si>
  <si>
    <t xml:space="preserve">Year 3 (USD)</t>
  </si>
  <si>
    <t xml:space="preserve">License Type</t>
  </si>
  <si>
    <t xml:space="preserve">Notes</t>
  </si>
  <si>
    <t xml:space="preserve">  OPERATING SYSTEM &amp; VIRTUALISATION</t>
  </si>
  <si>
    <t xml:space="preserve">RHEL 9 Server (per socket pair) — 11 servers × 2 sockets = 22 sub-pairs</t>
  </si>
  <si>
    <t xml:space="preserve">Annual subscription</t>
  </si>
  <si>
    <t xml:space="preserve">Includes errata, security patches, 24/7 Red Hat TAC. Mandatory for regulated prod env.</t>
  </si>
  <si>
    <t xml:space="preserve">VMware vSphere Essentials Plus Kit (3 hosts)</t>
  </si>
  <si>
    <t xml:space="preserve">Perpetual + annual renew</t>
  </si>
  <si>
    <t xml:space="preserve">VM layer for app servers. Snapshot-based rollback on deployment failures. Optional but recommended.</t>
  </si>
  <si>
    <t xml:space="preserve">  DATABASE (OPEN SOURCE — NO LICENSE COST)</t>
  </si>
  <si>
    <t xml:space="preserve">PostgreSQL 15 Community Edition</t>
  </si>
  <si>
    <t xml:space="preserve">Open source (PostgreSQL License)</t>
  </si>
  <si>
    <t xml:space="preserve">OLTP: orders, accounts, compliance, audit. Production support via RHEL subscription.</t>
  </si>
  <si>
    <t xml:space="preserve">TimescaleDB Community Edition</t>
  </si>
  <si>
    <t xml:space="preserve">Open source (Apache 2.0)</t>
  </si>
  <si>
    <t xml:space="preserve">Tick data hypertables. Community tier free. Enterprise (compression+cont.agg): ~$20K/yr in Year 2.</t>
  </si>
  <si>
    <t xml:space="preserve">pgBackRest — WAL archive &amp; point-in-time recovery</t>
  </si>
  <si>
    <t xml:space="preserve">Open source (MIT)</t>
  </si>
  <si>
    <t xml:space="preserve">No cost. Handles full + incremental backup and PITR recovery for PostgreSQL.</t>
  </si>
  <si>
    <t xml:space="preserve">  MESSAGE BUS</t>
  </si>
  <si>
    <t xml:space="preserve">Apache Kafka (via Confluent Community / KRaft mode)</t>
  </si>
  <si>
    <t xml:space="preserve">No license. If Confluent Platform support needed later: est. $25K/yr — evaluate in Year 2.</t>
  </si>
  <si>
    <t xml:space="preserve">  MONITORING &amp; OBSERVABILITY</t>
  </si>
  <si>
    <t xml:space="preserve">Grafana Enterprise — 5-seat team license</t>
  </si>
  <si>
    <t xml:space="preserve">Dashboards, alerting, on-call routing. 5 seats sufficient for ops team.</t>
  </si>
  <si>
    <t xml:space="preserve">Prometheus + Alertmanager</t>
  </si>
  <si>
    <t xml:space="preserve">Metrics collection. No cost. Scrapes all service endpoints.</t>
  </si>
  <si>
    <t xml:space="preserve">Elastic Stack (Elasticsearch + Kibana) Basic tier</t>
  </si>
  <si>
    <t xml:space="preserve">Open source (Elastic License)</t>
  </si>
  <si>
    <t xml:space="preserve">Log aggregation, full-text search for audit. Basic is free. Platinum adds SIEM alerting.</t>
  </si>
  <si>
    <t xml:space="preserve">  SECURITY</t>
  </si>
  <si>
    <t xml:space="preserve">Fortinet FortiCare 360 + FortiGuard UTM (both FW units)</t>
  </si>
  <si>
    <t xml:space="preserve">Annual renewal</t>
  </si>
  <si>
    <t xml:space="preserve">IPS signatures, AV, URL filtering, app control. Both HA firewall units.</t>
  </si>
  <si>
    <t xml:space="preserve">Qualys Vulnerability Management VMDR (16 IPs)</t>
  </si>
  <si>
    <t xml:space="preserve">Continuous vuln scanning. Required for compliance sign-off from regulator.</t>
  </si>
  <si>
    <t xml:space="preserve">Wildcard TLS certificate — *.ace-exchange.mn</t>
  </si>
  <si>
    <t xml:space="preserve">All public-facing HTTPS endpoints. DigiCert or Sectigo OV wildcard.</t>
  </si>
  <si>
    <t xml:space="preserve">  BACKUP &amp; RECOVERY</t>
  </si>
  <si>
    <t xml:space="preserve">Veeam Backup &amp; Replication Universal License (10 workloads)</t>
  </si>
  <si>
    <t xml:space="preserve">Perpetual + 1yr maint</t>
  </si>
  <si>
    <t xml:space="preserve">VM and physical backup. Tape target integration. PITR for any workload.</t>
  </si>
  <si>
    <t xml:space="preserve">  CONTAINER ORCHESTRATION</t>
  </si>
  <si>
    <t xml:space="preserve">Rancher RKE2 / K3s (on-premise Kubernetes)</t>
  </si>
  <si>
    <t xml:space="preserve">Production-grade Kubernetes distribution for bare-metal. SUSE Rancher UI optional.</t>
  </si>
  <si>
    <t xml:space="preserve">Harbor container registry (self-hosted)</t>
  </si>
  <si>
    <t xml:space="preserve">Air-gapped private OCI registry. All service images pulled from Harbor, not public internet.</t>
  </si>
  <si>
    <t xml:space="preserve">  DEVELOPER &amp; CI/CD TOOLING</t>
  </si>
  <si>
    <t xml:space="preserve">GitLab Community Edition (self-hosted)</t>
  </si>
  <si>
    <t xml:space="preserve">Git, CI/CD pipelines, issue tracker, secrets management. No license.</t>
  </si>
  <si>
    <t xml:space="preserve">HashiCorp Terraform (BSL — internal use free)</t>
  </si>
  <si>
    <t xml:space="preserve">BSL 1.1</t>
  </si>
  <si>
    <t xml:space="preserve">IaC for all infrastructure. Internal use is free under BSL.</t>
  </si>
  <si>
    <t xml:space="preserve">  COMPLIANCE &amp; FINANCIAL</t>
  </si>
  <si>
    <t xml:space="preserve">PEP / sanctions watchlist data feed (ACAMS / Dow Jones)</t>
  </si>
  <si>
    <t xml:space="preserve">Annual data subscription</t>
  </si>
  <si>
    <t xml:space="preserve">PEP database, sanctions list, adverse media. Required for KYC/AML engine (T016).</t>
  </si>
  <si>
    <t xml:space="preserve">Legal Entity Identifier (LEI) — initial + annual maintenance</t>
  </si>
  <si>
    <t xml:space="preserve">Annual</t>
  </si>
  <si>
    <t xml:space="preserve">Exchange LEI for regulatory trade reporting. GLEIF registration.</t>
  </si>
  <si>
    <t xml:space="preserve">  PRODUCTIVITY</t>
  </si>
  <si>
    <t xml:space="preserve">Microsoft 365 Business Standard — 10 users</t>
  </si>
  <si>
    <t xml:space="preserve">Exchange, Teams, SharePoint. For ops + management team communication.</t>
  </si>
  <si>
    <t xml:space="preserve">TOTAL SOFTWARE</t>
  </si>
  <si>
    <t xml:space="preserve">ANNUAL OPERATING EXPENDITURE  —  Facilities · Power · Staffing · Connectivity · Maintenance</t>
  </si>
  <si>
    <t xml:space="preserve">Basis</t>
  </si>
  <si>
    <t xml:space="preserve">  COLOCATION / DATACENTER SPACE</t>
  </si>
  <si>
    <t xml:space="preserve">Datacenter co-lo — 25 sqm secured room, Ulaanbaatar</t>
  </si>
  <si>
    <t xml:space="preserve">Annual lease</t>
  </si>
  <si>
    <t xml:space="preserve">Includes biometric access, CCTV, fire suppression, climate control, 24/7 physical security</t>
  </si>
  <si>
    <t xml:space="preserve">After-hours datacenter access &amp; colo staff support</t>
  </si>
  <si>
    <t xml:space="preserve">Emergency callout fees, escort access outside business hours</t>
  </si>
  <si>
    <t xml:space="preserve">  POWER &amp; COOLING</t>
  </si>
  <si>
    <t xml:space="preserve">Electricity — IT load 5.5kW avg × PUE 1.2 × $0.065/kWh</t>
  </si>
  <si>
    <t xml:space="preserve">Annual (kWh)</t>
  </si>
  <si>
    <t xml:space="preserve">Generator diesel fuel + quarterly service contract</t>
  </si>
  <si>
    <t xml:space="preserve">Diesel reserve (200L) + 4× professional test runs/year with certified engineer</t>
  </si>
  <si>
    <t xml:space="preserve">UPS Li-Ion battery replacement reserve (5-yr amortised)</t>
  </si>
  <si>
    <t xml:space="preserve">Annual accrual</t>
  </si>
  <si>
    <t xml:space="preserve">2 units × $4,800 replacement ÷ 5yr = $1,920/yr ÷ 2 = $960 annual accrual</t>
  </si>
  <si>
    <t xml:space="preserve">HVAC / precision cooling maintenance contract</t>
  </si>
  <si>
    <t xml:space="preserve">Annual contract</t>
  </si>
  <si>
    <t xml:space="preserve">Bi-annual service + refrigerant top-up. Dedicated precision AC units for server room</t>
  </si>
  <si>
    <t xml:space="preserve">  IT PERSONNEL (MONGOLIA MARKET RATES)</t>
  </si>
  <si>
    <t xml:space="preserve">Systems / infrastructure engineer — 1.0 FTE</t>
  </si>
  <si>
    <t xml:space="preserve">Annual salary</t>
  </si>
  <si>
    <t xml:space="preserve">Mid-level. RHEL, Kubernetes, networking, storage, backup ops. +10% raise/yr assumed</t>
  </si>
  <si>
    <t xml:space="preserve">Database administrator — 0.5 FTE (shared role)</t>
  </si>
  <si>
    <t xml:space="preserve">PostgreSQL + TimescaleDB tuning, backup verification, schema migrations</t>
  </si>
  <si>
    <t xml:space="preserve">Security &amp; compliance officer — 0.5 FTE (shared role)</t>
  </si>
  <si>
    <t xml:space="preserve">Firewall policy, vuln scanning, KYC ops review, audit log monitoring, regulator reports</t>
  </si>
  <si>
    <t xml:space="preserve">On-call allowance (24/7 exchange coverage rotation)</t>
  </si>
  <si>
    <t xml:space="preserve">Annual allowance</t>
  </si>
  <si>
    <t xml:space="preserve">Shift differential + on-call stipend. Exchange cannot go unmonitored outside business hours</t>
  </si>
  <si>
    <t xml:space="preserve">  HARDWARE MAINTENANCE &amp; VENDOR SUPPORT</t>
  </si>
  <si>
    <t xml:space="preserve">Dell ProSupport Plus NBD on-site — all 11 servers</t>
  </si>
  <si>
    <t xml:space="preserve">$440/server/yr. Next-business-day on-site tech + parts. Non-negotiable for SLA</t>
  </si>
  <si>
    <t xml:space="preserve">Cisco SmartNet — 2×Cat9300L + 2×Cat9200L + ISR4321</t>
  </si>
  <si>
    <t xml:space="preserve">24/7 Cisco TAC + software updates + hardware RMA. Full network stack covered</t>
  </si>
  <si>
    <t xml:space="preserve">Fortinet FortiCare 360 — both FortiGate 100F units</t>
  </si>
  <si>
    <t xml:space="preserve">24/7 TAC + firmware updates + RMA for HA pair. Includes UTM signature subscription</t>
  </si>
  <si>
    <t xml:space="preserve">Synology extended warranty — both NAS units</t>
  </si>
  <si>
    <t xml:space="preserve">Extended to 5-yr coverage. NBD advance-replacement.</t>
  </si>
  <si>
    <t xml:space="preserve">Tape library service + cleaning cartridges</t>
  </si>
  <si>
    <t xml:space="preserve">Quantum Scalar i3 preventive maintenance + LTO-9 cleaning tapes</t>
  </si>
  <si>
    <t xml:space="preserve">  NETWORK CONNECTIVITY</t>
  </si>
  <si>
    <t xml:space="preserve">Primary internet — 1 Gbps dedicated symmetric fiber (Mobicom)</t>
  </si>
  <si>
    <t xml:space="preserve">Dedicated line to datacenter. Broker API, web terminal, market data WebSocket feeds</t>
  </si>
  <si>
    <t xml:space="preserve">Failover internet — 500 Mbps (Unitel or G-Mobile)</t>
  </si>
  <si>
    <t xml:space="preserve">Separate ISP for BGP dual-homing. Automatic switchover. Prevents single-ISP outage</t>
  </si>
  <si>
    <t xml:space="preserve">MPLS leased line — datacenter to central bank / settlement</t>
  </si>
  <si>
    <t xml:space="preserve">Private circuit for RTGS payment settlement. Regulatory requirement for licensed exchange</t>
  </si>
  <si>
    <t xml:space="preserve">Static IP allocation fees (both ISPs)</t>
  </si>
  <si>
    <t xml:space="preserve">Public /29 block per ISP = 5 usable IPs each. Required for BGP and inbound broker access</t>
  </si>
  <si>
    <t xml:space="preserve">  INSURANCE &amp; COMPLIANCE</t>
  </si>
  <si>
    <t xml:space="preserve">Cyber liability insurance</t>
  </si>
  <si>
    <t xml:space="preserve">Annual premium</t>
  </si>
  <si>
    <t xml:space="preserve">Covers breach notification, forensics, recovery. Required by financial regulator.</t>
  </si>
  <si>
    <t xml:space="preserve">Hardware all-risk equipment insurance (~$250K replacement value)</t>
  </si>
  <si>
    <t xml:space="preserve">Fire, flood, theft, accidental damage. Covers full hardware replacement cost</t>
  </si>
  <si>
    <t xml:space="preserve">  MISCELLANEOUS OPERATIONAL</t>
  </si>
  <si>
    <t xml:space="preserve">Consumables — tapes, labels, SFP spares, cables, tools</t>
  </si>
  <si>
    <t xml:space="preserve">Monthly consumable budget: blank cartridges, SFP spare pool, patch cables, cleaning</t>
  </si>
  <si>
    <t xml:space="preserve">Staff training &amp; certifications (RHCSA, CCNA, security)</t>
  </si>
  <si>
    <t xml:space="preserve">Critical skills maintenance for small team. Certifications support vendor support escalation</t>
  </si>
  <si>
    <t xml:space="preserve">ITSM &amp; monitoring tooling — Atlassian JSM Cloud (incident mgmt)</t>
  </si>
  <si>
    <t xml:space="preserve">Incident tracking, on-call scheduling, change management. 5-user Jira Service Mgmt.</t>
  </si>
  <si>
    <t xml:space="preserve">TOTAL ANNUAL OPEX</t>
  </si>
  <si>
    <t xml:space="preserve">3-YEAR TOTAL COST OF OWNERSHIP  —  On-Premise ACE Platform  @  1,000 Orders/Day</t>
  </si>
  <si>
    <t xml:space="preserve">All costs USD  |  Blue text = inputs you can change  |  Black text = calculated formulas  |  Cloud reference: ADR-001 = $9,210/month (AWS Tokyo)</t>
  </si>
  <si>
    <t xml:space="preserve">ASSUMPTIONS</t>
  </si>
  <si>
    <t xml:space="preserve">Orders per day (design capacity)</t>
  </si>
  <si>
    <t xml:space="preserve">Annual order volume growth rate</t>
  </si>
  <si>
    <t xml:space="preserve">Site</t>
  </si>
  <si>
    <t xml:space="preserve">Ulaanbaatar, Mongolia</t>
  </si>
  <si>
    <t xml:space="preserve">Electricity cost USD/kWh</t>
  </si>
  <si>
    <t xml:space="preserve">MNT/USD exchange rate</t>
  </si>
  <si>
    <t xml:space="preserve">AWS cloud monthly cost (reference)</t>
  </si>
  <si>
    <t xml:space="preserve">On-prem contingency buffer</t>
  </si>
  <si>
    <t xml:space="preserve">Cost Category</t>
  </si>
  <si>
    <t xml:space="preserve">Year 1</t>
  </si>
  <si>
    <t xml:space="preserve">Year 2</t>
  </si>
  <si>
    <t xml:space="preserve">Year 3</t>
  </si>
  <si>
    <t xml:space="preserve">3-Year Total</t>
  </si>
  <si>
    <t xml:space="preserve">% of TCO</t>
  </si>
  <si>
    <t xml:space="preserve">Server &amp; network hardware CapEx</t>
  </si>
  <si>
    <t xml:space="preserve">Software licenses</t>
  </si>
  <si>
    <t xml:space="preserve">Colocation / datacenter space</t>
  </si>
  <si>
    <t xml:space="preserve">Power &amp; cooling (electricity+gen)</t>
  </si>
  <si>
    <t xml:space="preserve">IT personnel</t>
  </si>
  <si>
    <t xml:space="preserve">Hardware maintenance &amp; support</t>
  </si>
  <si>
    <t xml:space="preserve">Network connectivity</t>
  </si>
  <si>
    <t xml:space="preserve">Insurance &amp; compliance</t>
  </si>
  <si>
    <t xml:space="preserve">Misc operational</t>
  </si>
  <si>
    <t xml:space="preserve">Contingency (10% of subtotal)</t>
  </si>
  <si>
    <t xml:space="preserve">GRAND TOTAL TCO</t>
  </si>
  <si>
    <t xml:space="preserve">UNIT ECONOMICS &amp; CLOUD COMPARISON</t>
  </si>
  <si>
    <t xml:space="preserve">Monthly avg run cost (3-yr basis)</t>
  </si>
  <si>
    <t xml:space="preserve">Daily run cost</t>
  </si>
  <si>
    <t xml:space="preserve">Cost per order (1,000/day avg)</t>
  </si>
  <si>
    <t xml:space="preserve">AWS cloud 3-yr cost (reference)</t>
  </si>
  <si>
    <t xml:space="preserve">On-prem 3-yr saving vs cloud</t>
  </si>
  <si>
    <t xml:space="preserve">On-prem saving % vs cloud</t>
  </si>
  <si>
    <t xml:space="preserve">LEGEND:  Blue text = hardcoded input (can be changed)  |  Black text = Excel formula  |  Yellow background = critical assumption requiring local verification</t>
  </si>
  <si>
    <t xml:space="preserve">CAPACITY SIZING RATIONALE  —  1,000 Orders/Day On-Premise Exchange</t>
  </si>
  <si>
    <t xml:space="preserve">DAILY LOAD PROFILE</t>
  </si>
  <si>
    <t xml:space="preserve">Metric</t>
  </si>
  <si>
    <t xml:space="preserve">Value</t>
  </si>
  <si>
    <t xml:space="preserve">Calc basis</t>
  </si>
  <si>
    <t xml:space="preserve">Peak (5× avg)</t>
  </si>
  <si>
    <t xml:space="preserve">Orders per day</t>
  </si>
  <si>
    <t xml:space="preserve">1,000</t>
  </si>
  <si>
    <t xml:space="preserve">Input</t>
  </si>
  <si>
    <t xml:space="preserve">5,000/day (burst)</t>
  </si>
  <si>
    <t xml:space="preserve">Design capacity. Both buy + sell orders included</t>
  </si>
  <si>
    <t xml:space="preserve">Orders per hour (avg)</t>
  </si>
  <si>
    <t xml:space="preserve">42</t>
  </si>
  <si>
    <t xml:space="preserve">1,000 ÷ 24</t>
  </si>
  <si>
    <t xml:space="preserve">208/hr</t>
  </si>
  <si>
    <t xml:space="preserve">Market hours heavier — see peak</t>
  </si>
  <si>
    <t xml:space="preserve">Orders per minute (avg)</t>
  </si>
  <si>
    <t xml:space="preserve">0.7</t>
  </si>
  <si>
    <t xml:space="preserve">1,000 ÷ 1,440</t>
  </si>
  <si>
    <t xml:space="preserve">3.5/min</t>
  </si>
  <si>
    <t xml:space="preserve">Very low rate. Hardware is 10–50× over-provisioned intentionally</t>
  </si>
  <si>
    <t xml:space="preserve">Market open peak burst</t>
  </si>
  <si>
    <t xml:space="preserve">~200/hr</t>
  </si>
  <si>
    <t xml:space="preserve">5× avg</t>
  </si>
  <si>
    <t xml:space="preserve">Opening auction</t>
  </si>
  <si>
    <t xml:space="preserve">Morning auction is the single highest-concurrency window</t>
  </si>
  <si>
    <t xml:space="preserve">Trades generated/day</t>
  </si>
  <si>
    <t xml:space="preserve">~300</t>
  </si>
  <si>
    <t xml:space="preserve">30% fill rate</t>
  </si>
  <si>
    <t xml:space="preserve">~600/day peak</t>
  </si>
  <si>
    <t xml:space="preserve">Partial fills counted as 1 trade each</t>
  </si>
  <si>
    <t xml:space="preserve">Warehouse receipts/day</t>
  </si>
  <si>
    <t xml:space="preserve">~50</t>
  </si>
  <si>
    <t xml:space="preserve">Estimate</t>
  </si>
  <si>
    <t xml:space="preserve">—</t>
  </si>
  <si>
    <t xml:space="preserve">Low physical delivery volume at exchange launch</t>
  </si>
  <si>
    <t xml:space="preserve">Tick data writes/day</t>
  </si>
  <si>
    <t xml:space="preserve">~50,000</t>
  </si>
  <si>
    <t xml:space="preserve">All order+trade events</t>
  </si>
  <si>
    <t xml:space="preserve">250K/day peak</t>
  </si>
  <si>
    <t xml:space="preserve">TimescaleDB handles 1M+ inserts/sec on chosen hardware</t>
  </si>
  <si>
    <t xml:space="preserve">SERVER SIZING JUSTIFICATION</t>
  </si>
  <si>
    <t xml:space="preserve">Component</t>
  </si>
  <si>
    <t xml:space="preserve">Spec chosen</t>
  </si>
  <si>
    <t xml:space="preserve">Minimum needed</t>
  </si>
  <si>
    <t xml:space="preserve">Headroom ratio</t>
  </si>
  <si>
    <t xml:space="preserve">Scale-up trigger</t>
  </si>
  <si>
    <t xml:space="preserve">App servers (×2)</t>
  </si>
  <si>
    <t xml:space="preserve">Dell R650, 128GB RAM, NVMe SSD</t>
  </si>
  <si>
    <t xml:space="preserve">~8GB RAM, 4 vCPU</t>
  </si>
  <si>
    <t xml:space="preserve">16× RAM headroom</t>
  </si>
  <si>
    <t xml:space="preserve">Add 3rd node if order rate exceeds 15,000/day</t>
  </si>
  <si>
    <t xml:space="preserve">Matching engine (×2)</t>
  </si>
  <si>
    <t xml:space="preserve">Supermicro, Xeon Gold 6342, 256GB</t>
  </si>
  <si>
    <t xml:space="preserve">~2 vCPU, 8GB needed</t>
  </si>
  <si>
    <t xml:space="preserve">50× headroom</t>
  </si>
  <si>
    <t xml:space="preserve">N+1 is non-negotiable. Never reduce spec. Critical SLA path.</t>
  </si>
  <si>
    <t xml:space="preserve">DB server (×2)</t>
  </si>
  <si>
    <t xml:space="preserve">Dell R750, 512GB RAM, 4×3.84TB NVMe</t>
  </si>
  <si>
    <t xml:space="preserve">~16GB RAM, NVMe WAL</t>
  </si>
  <si>
    <t xml:space="preserve">32× headroom</t>
  </si>
  <si>
    <t xml:space="preserve">Add read replicas when report queries exceed 2s at current spec</t>
  </si>
  <si>
    <t xml:space="preserve">Kafka brokers (×3)</t>
  </si>
  <si>
    <t xml:space="preserve">Dell R650, 128GB, 6×2TB HDD</t>
  </si>
  <si>
    <t xml:space="preserve">~10GB/day raw logs</t>
  </si>
  <si>
    <t xml:space="preserve">~200 days buffer</t>
  </si>
  <si>
    <t xml:space="preserve">Increase storage if data feed volume exceeds 30GB/day</t>
  </si>
  <si>
    <t xml:space="preserve">NAS storage (×2 units)</t>
  </si>
  <si>
    <t xml:space="preserve">96TB usable RAID-6 each</t>
  </si>
  <si>
    <t xml:space="preserve">~2TB/yr at launch</t>
  </si>
  <si>
    <t xml:space="preserve">48× headroom</t>
  </si>
  <si>
    <t xml:space="preserve">7-yr regulatory archive fits in 14TB; 192TB total covers 50+ years</t>
  </si>
  <si>
    <t xml:space="preserve">Backup/archive server</t>
  </si>
  <si>
    <t xml:space="preserve">Dell R540, 64GB, 4×4TB HDD</t>
  </si>
  <si>
    <t xml:space="preserve">~2TB/day backup</t>
  </si>
  <si>
    <t xml:space="preserve">2 weeks local</t>
  </si>
  <si>
    <t xml:space="preserve">Tape library handles 7-yr archive. Local disk = 14-day rolling</t>
  </si>
  <si>
    <t xml:space="preserve">POWER CONSUMPTION BREAKDOWN</t>
  </si>
  <si>
    <t xml:space="preserve">Count</t>
  </si>
  <si>
    <t xml:space="preserve">TDP (Watts)</t>
  </si>
  <si>
    <t xml:space="preserve">Total Watts</t>
  </si>
  <si>
    <t xml:space="preserve">Annual kWh</t>
  </si>
  <si>
    <t xml:space="preserve">App servers</t>
  </si>
  <si>
    <t xml:space="preserve">2</t>
  </si>
  <si>
    <t xml:space="preserve">300W</t>
  </si>
  <si>
    <t xml:space="preserve">600W</t>
  </si>
  <si>
    <t xml:space="preserve">5,256</t>
  </si>
  <si>
    <t xml:space="preserve">Matching engine servers</t>
  </si>
  <si>
    <t xml:space="preserve">350W</t>
  </si>
  <si>
    <t xml:space="preserve">700W</t>
  </si>
  <si>
    <t xml:space="preserve">6,132</t>
  </si>
  <si>
    <t xml:space="preserve">Database servers</t>
  </si>
  <si>
    <t xml:space="preserve">400W</t>
  </si>
  <si>
    <t xml:space="preserve">800W</t>
  </si>
  <si>
    <t xml:space="preserve">7,008</t>
  </si>
  <si>
    <t xml:space="preserve">Kafka broker servers</t>
  </si>
  <si>
    <t xml:space="preserve">3</t>
  </si>
  <si>
    <t xml:space="preserve">250W</t>
  </si>
  <si>
    <t xml:space="preserve">750W</t>
  </si>
  <si>
    <t xml:space="preserve">6,570</t>
  </si>
  <si>
    <t xml:space="preserve">Backup + monitoring servers</t>
  </si>
  <si>
    <t xml:space="preserve">200W</t>
  </si>
  <si>
    <t xml:space="preserve">3,504</t>
  </si>
  <si>
    <t xml:space="preserve">Networking (switches+FW+router)</t>
  </si>
  <si>
    <t xml:space="preserve">1</t>
  </si>
  <si>
    <t xml:space="preserve">600W combined</t>
  </si>
  <si>
    <t xml:space="preserve">NAS + tape library</t>
  </si>
  <si>
    <t xml:space="preserve">300W combined</t>
  </si>
  <si>
    <t xml:space="preserve">2,628</t>
  </si>
  <si>
    <t xml:space="preserve">UPS overhead (10% of IT load)</t>
  </si>
  <si>
    <t xml:space="preserve">415W</t>
  </si>
  <si>
    <t xml:space="preserve">3,635</t>
  </si>
  <si>
    <t xml:space="preserve">IT load subtotal</t>
  </si>
  <si>
    <t xml:space="preserve">4,565W</t>
  </si>
  <si>
    <t xml:space="preserve">39,989</t>
  </si>
  <si>
    <t xml:space="preserve">With PUE 1.2 (cooling overhead)</t>
  </si>
  <si>
    <t xml:space="preserve">5,478W avg</t>
  </si>
  <si>
    <t xml:space="preserve">47,987 kWh/yr</t>
  </si>
  <si>
    <t xml:space="preserve">Annual electricity cost @ $0.065/kWh</t>
  </si>
  <si>
    <t xml:space="preserve">$3,119/yr IT only</t>
  </si>
  <si>
    <t xml:space="preserve">NETWORK BANDWIDTH SIZING</t>
  </si>
  <si>
    <t xml:space="preserve">Traffic type</t>
  </si>
  <si>
    <t xml:space="preserve">Avg bandwidth</t>
  </si>
  <si>
    <t xml:space="preserve">Peak bandwidth</t>
  </si>
  <si>
    <t xml:space="preserve">ISP provisioned</t>
  </si>
  <si>
    <t xml:space="preserve">Headroom</t>
  </si>
  <si>
    <t xml:space="preserve">Broker FIX + REST trading API</t>
  </si>
  <si>
    <t xml:space="preserve">5 Mbps</t>
  </si>
  <si>
    <t xml:space="preserve">50 Mbps</t>
  </si>
  <si>
    <t xml:space="preserve">1 Gbps</t>
  </si>
  <si>
    <t xml:space="preserve">20×</t>
  </si>
  <si>
    <t xml:space="preserve">Market data WebSocket feeds</t>
  </si>
  <si>
    <t xml:space="preserve">10 Mbps</t>
  </si>
  <si>
    <t xml:space="preserve">80 Mbps</t>
  </si>
  <si>
    <t xml:space="preserve">12×</t>
  </si>
  <si>
    <t xml:space="preserve">Web trading terminal (HTTPS)</t>
  </si>
  <si>
    <t xml:space="preserve">2 Mbps</t>
  </si>
  <si>
    <t xml:space="preserve">20 Mbps</t>
  </si>
  <si>
    <t xml:space="preserve">50×</t>
  </si>
  <si>
    <t xml:space="preserve">Settlement MPLS circuit</t>
  </si>
  <si>
    <t xml:space="preserve">1 Mbps</t>
  </si>
  <si>
    <t xml:space="preserve">10 Mbps dedicated</t>
  </si>
  <si>
    <t xml:space="preserve">2×</t>
  </si>
  <si>
    <t xml:space="preserve">Management &amp; monitoring</t>
  </si>
  <si>
    <t xml:space="preserve">Internal VLAN</t>
  </si>
  <si>
    <t xml:space="preserve">TOTAL primary ISP requirement</t>
  </si>
  <si>
    <t xml:space="preserve">~20 Mbps avg</t>
  </si>
  <si>
    <t xml:space="preserve">~160 Mbps peak</t>
  </si>
  <si>
    <t xml:space="preserve">1 Gbps provisioned</t>
  </si>
  <si>
    <t xml:space="preserve">6× peak headroom</t>
  </si>
  <si>
    <t xml:space="preserve">WHEN TO SCALE UP (TRIGGER POINTS)</t>
  </si>
  <si>
    <t xml:space="preserve">Trigger</t>
  </si>
  <si>
    <t xml:space="preserve">Threshold</t>
  </si>
  <si>
    <t xml:space="preserve">Action required</t>
  </si>
  <si>
    <t xml:space="preserve">Lead time</t>
  </si>
  <si>
    <t xml:space="preserve">Cost impact</t>
  </si>
  <si>
    <t xml:space="preserve">Daily orders exceed</t>
  </si>
  <si>
    <t xml:space="preserve">5,000/day</t>
  </si>
  <si>
    <t xml:space="preserve">Add 2× app server nodes</t>
  </si>
  <si>
    <t xml:space="preserve">2–4 weeks</t>
  </si>
  <si>
    <t xml:space="preserve">+ ~$16K CapEx</t>
  </si>
  <si>
    <t xml:space="preserve">DB query latency exceeds</t>
  </si>
  <si>
    <t xml:space="preserve">200ms p99</t>
  </si>
  <si>
    <t xml:space="preserve">Add read replica DB node</t>
  </si>
  <si>
    <t xml:space="preserve">1–2 weeks</t>
  </si>
  <si>
    <t xml:space="preserve">+ ~$14.5K CapEx</t>
  </si>
  <si>
    <t xml:space="preserve">Kafka consumer lag grows</t>
  </si>
  <si>
    <t xml:space="preserve">&gt; 5 min sustained</t>
  </si>
  <si>
    <t xml:space="preserve">Increase broker count to 5</t>
  </si>
  <si>
    <t xml:space="preserve">2 weeks</t>
  </si>
  <si>
    <t xml:space="preserve">+ ~$12.8K CapEx</t>
  </si>
  <si>
    <t xml:space="preserve">NAS utilisation exceeds</t>
  </si>
  <si>
    <t xml:space="preserve">70% capacity (~134TB)</t>
  </si>
  <si>
    <t xml:space="preserve">Add 2× NAS expansion units</t>
  </si>
  <si>
    <t xml:space="preserve">+ ~$8K CapEx</t>
  </si>
  <si>
    <t xml:space="preserve">ISP utilisation exceeds</t>
  </si>
  <si>
    <t xml:space="preserve">60% sustained (600 Mbps)</t>
  </si>
  <si>
    <t xml:space="preserve">Upgrade to 10 Gbps line</t>
  </si>
  <si>
    <t xml:space="preserve">4–8 weeks</t>
  </si>
  <si>
    <t xml:space="preserve">+ ~$12K/yr OpEx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</si>
</sst>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$#,##0;&quot;($&quot;#,##0\);\-"/>
    <numFmt numFmtId="167" formatCode="0.0%"/>
    <numFmt numFmtId="168" formatCode="@"/>
    <numFmt numFmtId="169" formatCode="\$#,##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A56A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A5C"/>
        <bgColor rgb="FF333399"/>
      </patternFill>
    </fill>
    <fill>
      <patternFill patternType="solid">
        <fgColor rgb="FF1A56A0"/>
        <bgColor rgb="FF333399"/>
      </patternFill>
    </fill>
    <fill>
      <patternFill patternType="solid">
        <fgColor rgb="FFF4F6F8"/>
        <bgColor rgb="FFFFFFFF"/>
      </patternFill>
    </fill>
    <fill>
      <patternFill patternType="solid">
        <fgColor rgb="FFFFFFFF"/>
        <bgColor rgb="FFF4F6F8"/>
      </patternFill>
    </fill>
    <fill>
      <patternFill patternType="solid">
        <fgColor rgb="FFD6E4F7"/>
        <bgColor rgb="FFF4F6F8"/>
      </patternFill>
    </fill>
    <fill>
      <patternFill patternType="solid">
        <fgColor rgb="FFFFFF00"/>
        <bgColor rgb="FFFFFF00"/>
      </patternFill>
    </fill>
    <fill>
      <patternFill patternType="solid">
        <fgColor rgb="FFFFF3CD"/>
        <bgColor rgb="FFF4F6F8"/>
      </patternFill>
    </fill>
    <fill>
      <patternFill patternType="solid">
        <fgColor rgb="FF444444"/>
        <bgColor rgb="FF1A3A5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3CD"/>
      <rgbColor rgb="FFF4F6F8"/>
      <rgbColor rgb="FF660066"/>
      <rgbColor rgb="FFFF8080"/>
      <rgbColor rgb="FF1A56A0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7" min="5" style="1" width="16"/>
    <col collapsed="false" customWidth="true" hidden="false" outlineLevel="0" max="8" min="8" style="1" width="28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customFormat="false" ht="18" hidden="false" customHeight="true" outlineLevel="0" collapsed="false">
      <c r="A3" s="4" t="s">
        <v>9</v>
      </c>
      <c r="B3" s="4"/>
      <c r="C3" s="4"/>
      <c r="D3" s="4"/>
      <c r="E3" s="4"/>
      <c r="F3" s="4"/>
      <c r="G3" s="4"/>
      <c r="H3" s="4"/>
    </row>
    <row r="4" customFormat="false" ht="15.75" hidden="false" customHeight="true" outlineLevel="0" collapsed="false">
      <c r="A4" s="5" t="s">
        <v>10</v>
      </c>
      <c r="B4" s="6" t="n">
        <v>2</v>
      </c>
      <c r="C4" s="7" t="n">
        <v>8200</v>
      </c>
      <c r="D4" s="8" t="n">
        <v>0</v>
      </c>
      <c r="E4" s="9" t="n">
        <f aca="false">B4*C4</f>
        <v>16400</v>
      </c>
      <c r="F4" s="9" t="n">
        <f aca="false">E4*D4</f>
        <v>0</v>
      </c>
      <c r="G4" s="9" t="n">
        <f aca="false">E4*D4</f>
        <v>0</v>
      </c>
      <c r="H4" s="10" t="s">
        <v>11</v>
      </c>
    </row>
    <row r="5" customFormat="false" ht="15.75" hidden="false" customHeight="true" outlineLevel="0" collapsed="false">
      <c r="A5" s="11" t="s">
        <v>12</v>
      </c>
      <c r="B5" s="6" t="n">
        <v>2</v>
      </c>
      <c r="C5" s="7" t="n">
        <v>14500</v>
      </c>
      <c r="D5" s="8" t="n">
        <v>0</v>
      </c>
      <c r="E5" s="12" t="n">
        <f aca="false">B5*C5</f>
        <v>29000</v>
      </c>
      <c r="F5" s="12" t="n">
        <f aca="false">E5*D5</f>
        <v>0</v>
      </c>
      <c r="G5" s="12" t="n">
        <f aca="false">E5*D5</f>
        <v>0</v>
      </c>
      <c r="H5" s="13" t="s">
        <v>13</v>
      </c>
    </row>
    <row r="6" customFormat="false" ht="15.75" hidden="false" customHeight="true" outlineLevel="0" collapsed="false">
      <c r="A6" s="5" t="s">
        <v>14</v>
      </c>
      <c r="B6" s="6" t="n">
        <v>2</v>
      </c>
      <c r="C6" s="7" t="n">
        <v>11800</v>
      </c>
      <c r="D6" s="8" t="n">
        <v>0</v>
      </c>
      <c r="E6" s="9" t="n">
        <f aca="false">B6*C6</f>
        <v>23600</v>
      </c>
      <c r="F6" s="9" t="n">
        <f aca="false">E6*D6</f>
        <v>0</v>
      </c>
      <c r="G6" s="9" t="n">
        <f aca="false">E6*D6</f>
        <v>0</v>
      </c>
      <c r="H6" s="10" t="s">
        <v>15</v>
      </c>
    </row>
    <row r="7" customFormat="false" ht="15.75" hidden="false" customHeight="true" outlineLevel="0" collapsed="false">
      <c r="A7" s="11" t="s">
        <v>16</v>
      </c>
      <c r="B7" s="6" t="n">
        <v>3</v>
      </c>
      <c r="C7" s="7" t="n">
        <v>6400</v>
      </c>
      <c r="D7" s="8" t="n">
        <v>0</v>
      </c>
      <c r="E7" s="12" t="n">
        <f aca="false">B7*C7</f>
        <v>19200</v>
      </c>
      <c r="F7" s="12" t="n">
        <f aca="false">E7*D7</f>
        <v>0</v>
      </c>
      <c r="G7" s="12" t="n">
        <f aca="false">E7*D7</f>
        <v>0</v>
      </c>
      <c r="H7" s="13" t="s">
        <v>17</v>
      </c>
    </row>
    <row r="8" customFormat="false" ht="15.75" hidden="false" customHeight="true" outlineLevel="0" collapsed="false">
      <c r="A8" s="5" t="s">
        <v>18</v>
      </c>
      <c r="B8" s="6" t="n">
        <v>1</v>
      </c>
      <c r="C8" s="7" t="n">
        <v>4200</v>
      </c>
      <c r="D8" s="8" t="n">
        <v>0</v>
      </c>
      <c r="E8" s="9" t="n">
        <f aca="false">B8*C8</f>
        <v>4200</v>
      </c>
      <c r="F8" s="9" t="n">
        <f aca="false">E8*D8</f>
        <v>0</v>
      </c>
      <c r="G8" s="9" t="n">
        <f aca="false">E8*D8</f>
        <v>0</v>
      </c>
      <c r="H8" s="10" t="s">
        <v>19</v>
      </c>
    </row>
    <row r="9" customFormat="false" ht="15.75" hidden="false" customHeight="true" outlineLevel="0" collapsed="false">
      <c r="A9" s="11" t="s">
        <v>20</v>
      </c>
      <c r="B9" s="6" t="n">
        <v>1</v>
      </c>
      <c r="C9" s="7" t="n">
        <v>2800</v>
      </c>
      <c r="D9" s="8" t="n">
        <v>0</v>
      </c>
      <c r="E9" s="12" t="n">
        <f aca="false">B9*C9</f>
        <v>2800</v>
      </c>
      <c r="F9" s="12" t="n">
        <f aca="false">E9*D9</f>
        <v>0</v>
      </c>
      <c r="G9" s="12" t="n">
        <f aca="false">E9*D9</f>
        <v>0</v>
      </c>
      <c r="H9" s="13" t="s">
        <v>21</v>
      </c>
    </row>
    <row r="10" customFormat="false" ht="18" hidden="false" customHeight="true" outlineLevel="0" collapsed="false">
      <c r="A10" s="4" t="s">
        <v>22</v>
      </c>
      <c r="B10" s="4"/>
      <c r="C10" s="4"/>
      <c r="D10" s="4"/>
      <c r="E10" s="4"/>
      <c r="F10" s="4"/>
      <c r="G10" s="4"/>
      <c r="H10" s="4"/>
    </row>
    <row r="11" customFormat="false" ht="15.75" hidden="false" customHeight="true" outlineLevel="0" collapsed="false">
      <c r="A11" s="5" t="s">
        <v>23</v>
      </c>
      <c r="B11" s="6" t="n">
        <v>2</v>
      </c>
      <c r="C11" s="7" t="n">
        <v>4600</v>
      </c>
      <c r="D11" s="8" t="n">
        <v>0</v>
      </c>
      <c r="E11" s="9" t="n">
        <f aca="false">B11*C11</f>
        <v>9200</v>
      </c>
      <c r="F11" s="9" t="n">
        <f aca="false">E11*D11</f>
        <v>0</v>
      </c>
      <c r="G11" s="9" t="n">
        <f aca="false">E11*D11</f>
        <v>0</v>
      </c>
      <c r="H11" s="10" t="s">
        <v>24</v>
      </c>
    </row>
    <row r="12" customFormat="false" ht="15.75" hidden="false" customHeight="true" outlineLevel="0" collapsed="false">
      <c r="A12" s="11" t="s">
        <v>25</v>
      </c>
      <c r="B12" s="6" t="n">
        <v>2</v>
      </c>
      <c r="C12" s="7" t="n">
        <v>1800</v>
      </c>
      <c r="D12" s="8" t="n">
        <v>0</v>
      </c>
      <c r="E12" s="12" t="n">
        <f aca="false">B12*C12</f>
        <v>3600</v>
      </c>
      <c r="F12" s="12" t="n">
        <f aca="false">E12*D12</f>
        <v>0</v>
      </c>
      <c r="G12" s="12" t="n">
        <f aca="false">E12*D12</f>
        <v>0</v>
      </c>
      <c r="H12" s="13" t="s">
        <v>26</v>
      </c>
    </row>
    <row r="13" customFormat="false" ht="15.75" hidden="false" customHeight="true" outlineLevel="0" collapsed="false">
      <c r="A13" s="5" t="s">
        <v>27</v>
      </c>
      <c r="B13" s="6" t="n">
        <v>2</v>
      </c>
      <c r="C13" s="7" t="n">
        <v>4200</v>
      </c>
      <c r="D13" s="8" t="n">
        <v>0</v>
      </c>
      <c r="E13" s="9" t="n">
        <f aca="false">B13*C13</f>
        <v>8400</v>
      </c>
      <c r="F13" s="9" t="n">
        <f aca="false">E13*D13</f>
        <v>0</v>
      </c>
      <c r="G13" s="9" t="n">
        <f aca="false">E13*D13</f>
        <v>0</v>
      </c>
      <c r="H13" s="10" t="s">
        <v>28</v>
      </c>
    </row>
    <row r="14" customFormat="false" ht="15.75" hidden="false" customHeight="true" outlineLevel="0" collapsed="false">
      <c r="A14" s="11" t="s">
        <v>29</v>
      </c>
      <c r="B14" s="6" t="n">
        <v>1</v>
      </c>
      <c r="C14" s="7" t="n">
        <v>2600</v>
      </c>
      <c r="D14" s="8" t="n">
        <v>0</v>
      </c>
      <c r="E14" s="12" t="n">
        <f aca="false">B14*C14</f>
        <v>2600</v>
      </c>
      <c r="F14" s="12" t="n">
        <f aca="false">E14*D14</f>
        <v>0</v>
      </c>
      <c r="G14" s="12" t="n">
        <f aca="false">E14*D14</f>
        <v>0</v>
      </c>
      <c r="H14" s="13" t="s">
        <v>30</v>
      </c>
    </row>
    <row r="15" customFormat="false" ht="15.75" hidden="false" customHeight="true" outlineLevel="0" collapsed="false">
      <c r="A15" s="5" t="s">
        <v>31</v>
      </c>
      <c r="B15" s="6" t="n">
        <v>1</v>
      </c>
      <c r="C15" s="7" t="n">
        <v>1700</v>
      </c>
      <c r="D15" s="8" t="n">
        <v>0</v>
      </c>
      <c r="E15" s="9" t="n">
        <f aca="false">B15*C15</f>
        <v>1700</v>
      </c>
      <c r="F15" s="9" t="n">
        <f aca="false">E15*D15</f>
        <v>0</v>
      </c>
      <c r="G15" s="9" t="n">
        <f aca="false">E15*D15</f>
        <v>0</v>
      </c>
      <c r="H15" s="10" t="s">
        <v>32</v>
      </c>
    </row>
    <row r="16" customFormat="false" ht="18" hidden="false" customHeight="true" outlineLevel="0" collapsed="false">
      <c r="A16" s="4" t="s">
        <v>33</v>
      </c>
      <c r="B16" s="4"/>
      <c r="C16" s="4"/>
      <c r="D16" s="4"/>
      <c r="E16" s="4"/>
      <c r="F16" s="4"/>
      <c r="G16" s="4"/>
      <c r="H16" s="4"/>
    </row>
    <row r="17" customFormat="false" ht="15.75" hidden="false" customHeight="true" outlineLevel="0" collapsed="false">
      <c r="A17" s="11" t="s">
        <v>34</v>
      </c>
      <c r="B17" s="6" t="n">
        <v>2</v>
      </c>
      <c r="C17" s="7" t="n">
        <v>9800</v>
      </c>
      <c r="D17" s="8" t="n">
        <v>0</v>
      </c>
      <c r="E17" s="12" t="n">
        <f aca="false">B17*C17</f>
        <v>19600</v>
      </c>
      <c r="F17" s="12" t="n">
        <f aca="false">E17*D17</f>
        <v>0</v>
      </c>
      <c r="G17" s="12" t="n">
        <f aca="false">E17*D17</f>
        <v>0</v>
      </c>
      <c r="H17" s="13" t="s">
        <v>35</v>
      </c>
    </row>
    <row r="18" customFormat="false" ht="15.75" hidden="false" customHeight="true" outlineLevel="0" collapsed="false">
      <c r="A18" s="5" t="s">
        <v>36</v>
      </c>
      <c r="B18" s="6" t="n">
        <v>1</v>
      </c>
      <c r="C18" s="7" t="n">
        <v>12000</v>
      </c>
      <c r="D18" s="8" t="n">
        <v>0</v>
      </c>
      <c r="E18" s="9" t="n">
        <f aca="false">B18*C18</f>
        <v>12000</v>
      </c>
      <c r="F18" s="9" t="n">
        <f aca="false">E18*D18</f>
        <v>0</v>
      </c>
      <c r="G18" s="9" t="n">
        <f aca="false">E18*D18</f>
        <v>0</v>
      </c>
      <c r="H18" s="10" t="s">
        <v>37</v>
      </c>
    </row>
    <row r="19" customFormat="false" ht="15.75" hidden="false" customHeight="true" outlineLevel="0" collapsed="false">
      <c r="A19" s="11" t="s">
        <v>38</v>
      </c>
      <c r="B19" s="6" t="n">
        <v>2</v>
      </c>
      <c r="C19" s="7" t="n">
        <v>950</v>
      </c>
      <c r="D19" s="8" t="n">
        <v>0</v>
      </c>
      <c r="E19" s="12" t="n">
        <f aca="false">B19*C19</f>
        <v>1900</v>
      </c>
      <c r="F19" s="12" t="n">
        <f aca="false">E19*D19</f>
        <v>0</v>
      </c>
      <c r="G19" s="12" t="n">
        <f aca="false">E19*D19</f>
        <v>0</v>
      </c>
      <c r="H19" s="13" t="s">
        <v>39</v>
      </c>
    </row>
    <row r="20" customFormat="false" ht="15.75" hidden="false" customHeight="true" outlineLevel="0" collapsed="false">
      <c r="A20" s="5" t="s">
        <v>40</v>
      </c>
      <c r="B20" s="6" t="n">
        <v>4</v>
      </c>
      <c r="C20" s="7" t="n">
        <v>680</v>
      </c>
      <c r="D20" s="8" t="n">
        <v>0</v>
      </c>
      <c r="E20" s="9" t="n">
        <f aca="false">B20*C20</f>
        <v>2720</v>
      </c>
      <c r="F20" s="9" t="n">
        <f aca="false">E20*D20</f>
        <v>0</v>
      </c>
      <c r="G20" s="9" t="n">
        <f aca="false">E20*D20</f>
        <v>0</v>
      </c>
      <c r="H20" s="10" t="s">
        <v>41</v>
      </c>
    </row>
    <row r="21" customFormat="false" ht="18" hidden="false" customHeight="true" outlineLevel="0" collapsed="false">
      <c r="A21" s="4" t="s">
        <v>42</v>
      </c>
      <c r="B21" s="4"/>
      <c r="C21" s="4"/>
      <c r="D21" s="4"/>
      <c r="E21" s="4"/>
      <c r="F21" s="4"/>
      <c r="G21" s="4"/>
      <c r="H21" s="4"/>
    </row>
    <row r="22" customFormat="false" ht="15.75" hidden="false" customHeight="true" outlineLevel="0" collapsed="false">
      <c r="A22" s="11" t="s">
        <v>43</v>
      </c>
      <c r="B22" s="6" t="n">
        <v>2</v>
      </c>
      <c r="C22" s="7" t="n">
        <v>4800</v>
      </c>
      <c r="D22" s="8" t="n">
        <v>0</v>
      </c>
      <c r="E22" s="12" t="n">
        <f aca="false">B22*C22</f>
        <v>9600</v>
      </c>
      <c r="F22" s="12" t="n">
        <f aca="false">E22*D22</f>
        <v>0</v>
      </c>
      <c r="G22" s="12" t="n">
        <f aca="false">E22*D22</f>
        <v>0</v>
      </c>
      <c r="H22" s="13" t="s">
        <v>44</v>
      </c>
    </row>
    <row r="23" customFormat="false" ht="15.75" hidden="false" customHeight="true" outlineLevel="0" collapsed="false">
      <c r="A23" s="5" t="s">
        <v>45</v>
      </c>
      <c r="B23" s="6" t="n">
        <v>4</v>
      </c>
      <c r="C23" s="7" t="n">
        <v>620</v>
      </c>
      <c r="D23" s="8" t="n">
        <v>0</v>
      </c>
      <c r="E23" s="9" t="n">
        <f aca="false">B23*C23</f>
        <v>2480</v>
      </c>
      <c r="F23" s="9" t="n">
        <f aca="false">E23*D23</f>
        <v>0</v>
      </c>
      <c r="G23" s="9" t="n">
        <f aca="false">E23*D23</f>
        <v>0</v>
      </c>
      <c r="H23" s="10" t="s">
        <v>46</v>
      </c>
    </row>
    <row r="24" customFormat="false" ht="15.75" hidden="false" customHeight="true" outlineLevel="0" collapsed="false">
      <c r="A24" s="11" t="s">
        <v>47</v>
      </c>
      <c r="B24" s="6" t="n">
        <v>1</v>
      </c>
      <c r="C24" s="7" t="n">
        <v>8500</v>
      </c>
      <c r="D24" s="8" t="n">
        <v>0</v>
      </c>
      <c r="E24" s="12" t="n">
        <f aca="false">B24*C24</f>
        <v>8500</v>
      </c>
      <c r="F24" s="12" t="n">
        <f aca="false">E24*D24</f>
        <v>0</v>
      </c>
      <c r="G24" s="12" t="n">
        <f aca="false">E24*D24</f>
        <v>0</v>
      </c>
      <c r="H24" s="13" t="s">
        <v>48</v>
      </c>
    </row>
    <row r="25" customFormat="false" ht="18" hidden="false" customHeight="true" outlineLevel="0" collapsed="false">
      <c r="A25" s="4" t="s">
        <v>49</v>
      </c>
      <c r="B25" s="4"/>
      <c r="C25" s="4"/>
      <c r="D25" s="4"/>
      <c r="E25" s="4"/>
      <c r="F25" s="4"/>
      <c r="G25" s="4"/>
      <c r="H25" s="4"/>
    </row>
    <row r="26" customFormat="false" ht="15.75" hidden="false" customHeight="true" outlineLevel="0" collapsed="false">
      <c r="A26" s="5" t="s">
        <v>50</v>
      </c>
      <c r="B26" s="6" t="n">
        <v>2</v>
      </c>
      <c r="C26" s="7" t="n">
        <v>1800</v>
      </c>
      <c r="D26" s="8" t="n">
        <v>0</v>
      </c>
      <c r="E26" s="9" t="n">
        <f aca="false">B26*C26</f>
        <v>3600</v>
      </c>
      <c r="F26" s="9" t="n">
        <f aca="false">E26*D26</f>
        <v>0</v>
      </c>
      <c r="G26" s="9" t="n">
        <f aca="false">E26*D26</f>
        <v>0</v>
      </c>
      <c r="H26" s="10" t="s">
        <v>51</v>
      </c>
    </row>
    <row r="27" customFormat="false" ht="15.75" hidden="false" customHeight="true" outlineLevel="0" collapsed="false">
      <c r="A27" s="11" t="s">
        <v>52</v>
      </c>
      <c r="B27" s="6" t="n">
        <v>2</v>
      </c>
      <c r="C27" s="7" t="n">
        <v>950</v>
      </c>
      <c r="D27" s="8" t="n">
        <v>0</v>
      </c>
      <c r="E27" s="12" t="n">
        <f aca="false">B27*C27</f>
        <v>1900</v>
      </c>
      <c r="F27" s="12" t="n">
        <f aca="false">E27*D27</f>
        <v>0</v>
      </c>
      <c r="G27" s="12" t="n">
        <f aca="false">E27*D27</f>
        <v>0</v>
      </c>
      <c r="H27" s="13" t="s">
        <v>53</v>
      </c>
    </row>
    <row r="28" customFormat="false" ht="15.75" hidden="false" customHeight="true" outlineLevel="0" collapsed="false">
      <c r="A28" s="5" t="s">
        <v>54</v>
      </c>
      <c r="B28" s="6" t="n">
        <v>1</v>
      </c>
      <c r="C28" s="7" t="n">
        <v>1200</v>
      </c>
      <c r="D28" s="8" t="n">
        <v>0</v>
      </c>
      <c r="E28" s="9" t="n">
        <f aca="false">B28*C28</f>
        <v>1200</v>
      </c>
      <c r="F28" s="9" t="n">
        <f aca="false">E28*D28</f>
        <v>0</v>
      </c>
      <c r="G28" s="9" t="n">
        <f aca="false">E28*D28</f>
        <v>0</v>
      </c>
      <c r="H28" s="10" t="s">
        <v>55</v>
      </c>
    </row>
    <row r="29" customFormat="false" ht="15.75" hidden="false" customHeight="true" outlineLevel="0" collapsed="false">
      <c r="A29" s="11" t="s">
        <v>56</v>
      </c>
      <c r="B29" s="6" t="n">
        <v>1</v>
      </c>
      <c r="C29" s="7" t="n">
        <v>400</v>
      </c>
      <c r="D29" s="8" t="n">
        <v>0</v>
      </c>
      <c r="E29" s="12" t="n">
        <f aca="false">B29*C29</f>
        <v>400</v>
      </c>
      <c r="F29" s="12" t="n">
        <f aca="false">E29*D29</f>
        <v>0</v>
      </c>
      <c r="G29" s="12" t="n">
        <f aca="false">E29*D29</f>
        <v>0</v>
      </c>
      <c r="H29" s="13" t="s">
        <v>57</v>
      </c>
    </row>
    <row r="30" customFormat="false" ht="18" hidden="false" customHeight="true" outlineLevel="0" collapsed="false">
      <c r="A30" s="4" t="s">
        <v>58</v>
      </c>
      <c r="B30" s="4"/>
      <c r="C30" s="4"/>
      <c r="D30" s="4"/>
      <c r="E30" s="4"/>
      <c r="F30" s="4"/>
      <c r="G30" s="4"/>
      <c r="H30" s="4"/>
    </row>
    <row r="31" customFormat="false" ht="15.75" hidden="false" customHeight="true" outlineLevel="0" collapsed="false">
      <c r="A31" s="5" t="s">
        <v>59</v>
      </c>
      <c r="B31" s="6" t="n">
        <v>1</v>
      </c>
      <c r="C31" s="7" t="n">
        <v>4500</v>
      </c>
      <c r="D31" s="8" t="n">
        <v>0</v>
      </c>
      <c r="E31" s="9" t="n">
        <f aca="false">B31*C31</f>
        <v>4500</v>
      </c>
      <c r="F31" s="9" t="n">
        <f aca="false">E31*D31</f>
        <v>0</v>
      </c>
      <c r="G31" s="9" t="n">
        <f aca="false">E31*D31</f>
        <v>0</v>
      </c>
      <c r="H31" s="10" t="s">
        <v>60</v>
      </c>
    </row>
    <row r="32" customFormat="false" ht="15.75" hidden="false" customHeight="true" outlineLevel="0" collapsed="false">
      <c r="A32" s="11" t="s">
        <v>61</v>
      </c>
      <c r="B32" s="6" t="n">
        <v>1</v>
      </c>
      <c r="C32" s="7" t="n">
        <v>2800</v>
      </c>
      <c r="D32" s="8" t="n">
        <v>0</v>
      </c>
      <c r="E32" s="12" t="n">
        <f aca="false">B32*C32</f>
        <v>2800</v>
      </c>
      <c r="F32" s="12" t="n">
        <f aca="false">E32*D32</f>
        <v>0</v>
      </c>
      <c r="G32" s="12" t="n">
        <f aca="false">E32*D32</f>
        <v>0</v>
      </c>
      <c r="H32" s="13" t="s">
        <v>62</v>
      </c>
    </row>
    <row r="33" customFormat="false" ht="15.75" hidden="false" customHeight="true" outlineLevel="0" collapsed="false">
      <c r="A33" s="5" t="s">
        <v>63</v>
      </c>
      <c r="B33" s="6" t="n">
        <v>1</v>
      </c>
      <c r="C33" s="7" t="n">
        <v>1200</v>
      </c>
      <c r="D33" s="8" t="n">
        <v>0</v>
      </c>
      <c r="E33" s="9" t="n">
        <f aca="false">B33*C33</f>
        <v>1200</v>
      </c>
      <c r="F33" s="9" t="n">
        <f aca="false">E33*D33</f>
        <v>0</v>
      </c>
      <c r="G33" s="9" t="n">
        <f aca="false">E33*D33</f>
        <v>0</v>
      </c>
      <c r="H33" s="10" t="s">
        <v>64</v>
      </c>
    </row>
    <row r="34" customFormat="false" ht="21.75" hidden="false" customHeight="true" outlineLevel="0" collapsed="false">
      <c r="A34" s="14" t="s">
        <v>65</v>
      </c>
      <c r="E34" s="15" t="n">
        <f aca="false">SUM(E3:E33)</f>
        <v>193100</v>
      </c>
      <c r="F34" s="15" t="n">
        <f aca="false">SUM(F3:F33)</f>
        <v>0</v>
      </c>
      <c r="G34" s="15" t="n">
        <f aca="false">SUM(G3:G33)</f>
        <v>0</v>
      </c>
    </row>
  </sheetData>
  <mergeCells count="7">
    <mergeCell ref="A1:H1"/>
    <mergeCell ref="A3:H3"/>
    <mergeCell ref="A10:H10"/>
    <mergeCell ref="A16:H16"/>
    <mergeCell ref="A21:H21"/>
    <mergeCell ref="A25:H25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6"/>
    <col collapsed="false" customWidth="true" hidden="false" outlineLevel="0" max="5" min="5" style="1" width="20"/>
    <col collapsed="false" customWidth="true" hidden="false" outlineLevel="0" max="6" min="6" style="1" width="26"/>
  </cols>
  <sheetData>
    <row r="1" customFormat="false" ht="36" hidden="false" customHeight="true" outlineLevel="0" collapsed="false">
      <c r="A1" s="2" t="s">
        <v>66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67</v>
      </c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</row>
    <row r="3" customFormat="false" ht="18" hidden="false" customHeight="true" outlineLevel="0" collapsed="false">
      <c r="A3" s="4" t="s">
        <v>73</v>
      </c>
      <c r="B3" s="4"/>
      <c r="C3" s="4"/>
      <c r="D3" s="4"/>
      <c r="E3" s="4"/>
      <c r="F3" s="4"/>
    </row>
    <row r="4" customFormat="false" ht="15.75" hidden="false" customHeight="true" outlineLevel="0" collapsed="false">
      <c r="A4" s="5" t="s">
        <v>74</v>
      </c>
      <c r="B4" s="7" t="n">
        <v>3200</v>
      </c>
      <c r="C4" s="7" t="n">
        <v>3200</v>
      </c>
      <c r="D4" s="7" t="n">
        <v>3200</v>
      </c>
      <c r="E4" s="5" t="s">
        <v>75</v>
      </c>
      <c r="F4" s="10" t="s">
        <v>76</v>
      </c>
    </row>
    <row r="5" customFormat="false" ht="15.75" hidden="false" customHeight="true" outlineLevel="0" collapsed="false">
      <c r="A5" s="11" t="s">
        <v>77</v>
      </c>
      <c r="B5" s="7" t="n">
        <v>3600</v>
      </c>
      <c r="C5" s="7" t="n">
        <v>1800</v>
      </c>
      <c r="D5" s="7" t="n">
        <v>1800</v>
      </c>
      <c r="E5" s="11" t="s">
        <v>78</v>
      </c>
      <c r="F5" s="13" t="s">
        <v>79</v>
      </c>
    </row>
    <row r="6" customFormat="false" ht="18" hidden="false" customHeight="true" outlineLevel="0" collapsed="false">
      <c r="A6" s="4" t="s">
        <v>80</v>
      </c>
      <c r="B6" s="4"/>
      <c r="C6" s="4"/>
      <c r="D6" s="4"/>
      <c r="E6" s="4"/>
      <c r="F6" s="4"/>
    </row>
    <row r="7" customFormat="false" ht="15.75" hidden="false" customHeight="true" outlineLevel="0" collapsed="false">
      <c r="A7" s="5" t="s">
        <v>81</v>
      </c>
      <c r="B7" s="7" t="n">
        <v>0</v>
      </c>
      <c r="C7" s="7" t="n">
        <v>0</v>
      </c>
      <c r="D7" s="7" t="n">
        <v>0</v>
      </c>
      <c r="E7" s="5" t="s">
        <v>82</v>
      </c>
      <c r="F7" s="10" t="s">
        <v>83</v>
      </c>
    </row>
    <row r="8" customFormat="false" ht="15.75" hidden="false" customHeight="true" outlineLevel="0" collapsed="false">
      <c r="A8" s="11" t="s">
        <v>84</v>
      </c>
      <c r="B8" s="7" t="n">
        <v>0</v>
      </c>
      <c r="C8" s="7" t="n">
        <v>0</v>
      </c>
      <c r="D8" s="7" t="n">
        <v>0</v>
      </c>
      <c r="E8" s="11" t="s">
        <v>85</v>
      </c>
      <c r="F8" s="13" t="s">
        <v>86</v>
      </c>
    </row>
    <row r="9" customFormat="false" ht="15.75" hidden="false" customHeight="true" outlineLevel="0" collapsed="false">
      <c r="A9" s="5" t="s">
        <v>87</v>
      </c>
      <c r="B9" s="7" t="n">
        <v>0</v>
      </c>
      <c r="C9" s="7" t="n">
        <v>0</v>
      </c>
      <c r="D9" s="7" t="n">
        <v>0</v>
      </c>
      <c r="E9" s="5" t="s">
        <v>88</v>
      </c>
      <c r="F9" s="10" t="s">
        <v>89</v>
      </c>
    </row>
    <row r="10" customFormat="false" ht="18" hidden="false" customHeight="true" outlineLevel="0" collapsed="false">
      <c r="A10" s="4" t="s">
        <v>90</v>
      </c>
      <c r="B10" s="4"/>
      <c r="C10" s="4"/>
      <c r="D10" s="4"/>
      <c r="E10" s="4"/>
      <c r="F10" s="4"/>
    </row>
    <row r="11" customFormat="false" ht="15.75" hidden="false" customHeight="true" outlineLevel="0" collapsed="false">
      <c r="A11" s="11" t="s">
        <v>91</v>
      </c>
      <c r="B11" s="7" t="n">
        <v>0</v>
      </c>
      <c r="C11" s="7" t="n">
        <v>0</v>
      </c>
      <c r="D11" s="7" t="n">
        <v>0</v>
      </c>
      <c r="E11" s="11" t="s">
        <v>85</v>
      </c>
      <c r="F11" s="13" t="s">
        <v>92</v>
      </c>
    </row>
    <row r="12" customFormat="false" ht="18" hidden="false" customHeight="true" outlineLevel="0" collapsed="false">
      <c r="A12" s="4" t="s">
        <v>93</v>
      </c>
      <c r="B12" s="4"/>
      <c r="C12" s="4"/>
      <c r="D12" s="4"/>
      <c r="E12" s="4"/>
      <c r="F12" s="4"/>
    </row>
    <row r="13" customFormat="false" ht="15.75" hidden="false" customHeight="true" outlineLevel="0" collapsed="false">
      <c r="A13" s="5" t="s">
        <v>94</v>
      </c>
      <c r="B13" s="7" t="n">
        <v>1200</v>
      </c>
      <c r="C13" s="7" t="n">
        <v>1200</v>
      </c>
      <c r="D13" s="7" t="n">
        <v>1200</v>
      </c>
      <c r="E13" s="5" t="s">
        <v>75</v>
      </c>
      <c r="F13" s="10" t="s">
        <v>95</v>
      </c>
    </row>
    <row r="14" customFormat="false" ht="15.75" hidden="false" customHeight="true" outlineLevel="0" collapsed="false">
      <c r="A14" s="11" t="s">
        <v>96</v>
      </c>
      <c r="B14" s="7" t="n">
        <v>0</v>
      </c>
      <c r="C14" s="7" t="n">
        <v>0</v>
      </c>
      <c r="D14" s="7" t="n">
        <v>0</v>
      </c>
      <c r="E14" s="11" t="s">
        <v>85</v>
      </c>
      <c r="F14" s="13" t="s">
        <v>97</v>
      </c>
    </row>
    <row r="15" customFormat="false" ht="15.75" hidden="false" customHeight="true" outlineLevel="0" collapsed="false">
      <c r="A15" s="5" t="s">
        <v>98</v>
      </c>
      <c r="B15" s="7" t="n">
        <v>0</v>
      </c>
      <c r="C15" s="7" t="n">
        <v>0</v>
      </c>
      <c r="D15" s="7" t="n">
        <v>0</v>
      </c>
      <c r="E15" s="5" t="s">
        <v>99</v>
      </c>
      <c r="F15" s="10" t="s">
        <v>100</v>
      </c>
    </row>
    <row r="16" customFormat="false" ht="18" hidden="false" customHeight="true" outlineLevel="0" collapsed="false">
      <c r="A16" s="4" t="s">
        <v>101</v>
      </c>
      <c r="B16" s="4"/>
      <c r="C16" s="4"/>
      <c r="D16" s="4"/>
      <c r="E16" s="4"/>
      <c r="F16" s="4"/>
    </row>
    <row r="17" customFormat="false" ht="15.75" hidden="false" customHeight="true" outlineLevel="0" collapsed="false">
      <c r="A17" s="11" t="s">
        <v>102</v>
      </c>
      <c r="B17" s="7" t="n">
        <v>1800</v>
      </c>
      <c r="C17" s="7" t="n">
        <v>1800</v>
      </c>
      <c r="D17" s="7" t="n">
        <v>1800</v>
      </c>
      <c r="E17" s="11" t="s">
        <v>103</v>
      </c>
      <c r="F17" s="13" t="s">
        <v>104</v>
      </c>
    </row>
    <row r="18" customFormat="false" ht="15.75" hidden="false" customHeight="true" outlineLevel="0" collapsed="false">
      <c r="A18" s="5" t="s">
        <v>105</v>
      </c>
      <c r="B18" s="7" t="n">
        <v>2400</v>
      </c>
      <c r="C18" s="7" t="n">
        <v>2400</v>
      </c>
      <c r="D18" s="7" t="n">
        <v>2400</v>
      </c>
      <c r="E18" s="5" t="s">
        <v>75</v>
      </c>
      <c r="F18" s="10" t="s">
        <v>106</v>
      </c>
    </row>
    <row r="19" customFormat="false" ht="15.75" hidden="false" customHeight="true" outlineLevel="0" collapsed="false">
      <c r="A19" s="11" t="s">
        <v>107</v>
      </c>
      <c r="B19" s="7" t="n">
        <v>300</v>
      </c>
      <c r="C19" s="7" t="n">
        <v>300</v>
      </c>
      <c r="D19" s="7" t="n">
        <v>300</v>
      </c>
      <c r="E19" s="11" t="s">
        <v>103</v>
      </c>
      <c r="F19" s="13" t="s">
        <v>108</v>
      </c>
    </row>
    <row r="20" customFormat="false" ht="18" hidden="false" customHeight="true" outlineLevel="0" collapsed="false">
      <c r="A20" s="4" t="s">
        <v>109</v>
      </c>
      <c r="B20" s="4"/>
      <c r="C20" s="4"/>
      <c r="D20" s="4"/>
      <c r="E20" s="4"/>
      <c r="F20" s="4"/>
    </row>
    <row r="21" customFormat="false" ht="15.75" hidden="false" customHeight="true" outlineLevel="0" collapsed="false">
      <c r="A21" s="5" t="s">
        <v>110</v>
      </c>
      <c r="B21" s="7" t="n">
        <v>2800</v>
      </c>
      <c r="C21" s="7" t="n">
        <v>1400</v>
      </c>
      <c r="D21" s="7" t="n">
        <v>1400</v>
      </c>
      <c r="E21" s="5" t="s">
        <v>111</v>
      </c>
      <c r="F21" s="10" t="s">
        <v>112</v>
      </c>
    </row>
    <row r="22" customFormat="false" ht="18" hidden="false" customHeight="true" outlineLevel="0" collapsed="false">
      <c r="A22" s="4" t="s">
        <v>113</v>
      </c>
      <c r="B22" s="4"/>
      <c r="C22" s="4"/>
      <c r="D22" s="4"/>
      <c r="E22" s="4"/>
      <c r="F22" s="4"/>
    </row>
    <row r="23" customFormat="false" ht="15.75" hidden="false" customHeight="true" outlineLevel="0" collapsed="false">
      <c r="A23" s="11" t="s">
        <v>114</v>
      </c>
      <c r="B23" s="7" t="n">
        <v>0</v>
      </c>
      <c r="C23" s="7" t="n">
        <v>0</v>
      </c>
      <c r="D23" s="7" t="n">
        <v>0</v>
      </c>
      <c r="E23" s="11" t="s">
        <v>85</v>
      </c>
      <c r="F23" s="13" t="s">
        <v>115</v>
      </c>
    </row>
    <row r="24" customFormat="false" ht="15.75" hidden="false" customHeight="true" outlineLevel="0" collapsed="false">
      <c r="A24" s="5" t="s">
        <v>116</v>
      </c>
      <c r="B24" s="7" t="n">
        <v>0</v>
      </c>
      <c r="C24" s="7" t="n">
        <v>0</v>
      </c>
      <c r="D24" s="7" t="n">
        <v>0</v>
      </c>
      <c r="E24" s="5" t="s">
        <v>85</v>
      </c>
      <c r="F24" s="10" t="s">
        <v>117</v>
      </c>
    </row>
    <row r="25" customFormat="false" ht="18" hidden="false" customHeight="true" outlineLevel="0" collapsed="false">
      <c r="A25" s="4" t="s">
        <v>118</v>
      </c>
      <c r="B25" s="4"/>
      <c r="C25" s="4"/>
      <c r="D25" s="4"/>
      <c r="E25" s="4"/>
      <c r="F25" s="4"/>
    </row>
    <row r="26" customFormat="false" ht="15.75" hidden="false" customHeight="true" outlineLevel="0" collapsed="false">
      <c r="A26" s="11" t="s">
        <v>119</v>
      </c>
      <c r="B26" s="7" t="n">
        <v>0</v>
      </c>
      <c r="C26" s="7" t="n">
        <v>0</v>
      </c>
      <c r="D26" s="7" t="n">
        <v>0</v>
      </c>
      <c r="E26" s="11" t="s">
        <v>88</v>
      </c>
      <c r="F26" s="13" t="s">
        <v>120</v>
      </c>
    </row>
    <row r="27" customFormat="false" ht="15.75" hidden="false" customHeight="true" outlineLevel="0" collapsed="false">
      <c r="A27" s="5" t="s">
        <v>121</v>
      </c>
      <c r="B27" s="7" t="n">
        <v>0</v>
      </c>
      <c r="C27" s="7" t="n">
        <v>0</v>
      </c>
      <c r="D27" s="7" t="n">
        <v>0</v>
      </c>
      <c r="E27" s="5" t="s">
        <v>122</v>
      </c>
      <c r="F27" s="10" t="s">
        <v>123</v>
      </c>
    </row>
    <row r="28" customFormat="false" ht="18" hidden="false" customHeight="true" outlineLevel="0" collapsed="false">
      <c r="A28" s="4" t="s">
        <v>124</v>
      </c>
      <c r="B28" s="4"/>
      <c r="C28" s="4"/>
      <c r="D28" s="4"/>
      <c r="E28" s="4"/>
      <c r="F28" s="4"/>
    </row>
    <row r="29" customFormat="false" ht="15.75" hidden="false" customHeight="true" outlineLevel="0" collapsed="false">
      <c r="A29" s="11" t="s">
        <v>125</v>
      </c>
      <c r="B29" s="7" t="n">
        <v>1200</v>
      </c>
      <c r="C29" s="7" t="n">
        <v>1200</v>
      </c>
      <c r="D29" s="7" t="n">
        <v>1200</v>
      </c>
      <c r="E29" s="11" t="s">
        <v>126</v>
      </c>
      <c r="F29" s="13" t="s">
        <v>127</v>
      </c>
    </row>
    <row r="30" customFormat="false" ht="15.75" hidden="false" customHeight="true" outlineLevel="0" collapsed="false">
      <c r="A30" s="5" t="s">
        <v>128</v>
      </c>
      <c r="B30" s="7" t="n">
        <v>200</v>
      </c>
      <c r="C30" s="7" t="n">
        <v>100</v>
      </c>
      <c r="D30" s="7" t="n">
        <v>100</v>
      </c>
      <c r="E30" s="5" t="s">
        <v>129</v>
      </c>
      <c r="F30" s="10" t="s">
        <v>130</v>
      </c>
    </row>
    <row r="31" customFormat="false" ht="18" hidden="false" customHeight="true" outlineLevel="0" collapsed="false">
      <c r="A31" s="4" t="s">
        <v>131</v>
      </c>
      <c r="B31" s="4"/>
      <c r="C31" s="4"/>
      <c r="D31" s="4"/>
      <c r="E31" s="4"/>
      <c r="F31" s="4"/>
    </row>
    <row r="32" customFormat="false" ht="15.75" hidden="false" customHeight="true" outlineLevel="0" collapsed="false">
      <c r="A32" s="11" t="s">
        <v>132</v>
      </c>
      <c r="B32" s="7" t="n">
        <v>1320</v>
      </c>
      <c r="C32" s="7" t="n">
        <v>1320</v>
      </c>
      <c r="D32" s="7" t="n">
        <v>1320</v>
      </c>
      <c r="E32" s="11" t="s">
        <v>75</v>
      </c>
      <c r="F32" s="13" t="s">
        <v>133</v>
      </c>
    </row>
    <row r="33" customFormat="false" ht="21.75" hidden="false" customHeight="true" outlineLevel="0" collapsed="false">
      <c r="A33" s="14" t="s">
        <v>134</v>
      </c>
      <c r="B33" s="15" t="n">
        <f aca="false">SUM(B3:B32)</f>
        <v>18020</v>
      </c>
      <c r="C33" s="15" t="n">
        <f aca="false">SUM(C3:C32)</f>
        <v>14720</v>
      </c>
      <c r="D33" s="15" t="n">
        <f aca="false">SUM(D3:D32)</f>
        <v>14720</v>
      </c>
    </row>
  </sheetData>
  <mergeCells count="11">
    <mergeCell ref="A1:F1"/>
    <mergeCell ref="A3:F3"/>
    <mergeCell ref="A6:F6"/>
    <mergeCell ref="A10:F10"/>
    <mergeCell ref="A12:F12"/>
    <mergeCell ref="A16:F16"/>
    <mergeCell ref="A20:F20"/>
    <mergeCell ref="A22:F22"/>
    <mergeCell ref="A25:F25"/>
    <mergeCell ref="A28:F28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  <col collapsed="false" customWidth="true" hidden="false" outlineLevel="0" max="5" min="5" style="1" width="20"/>
    <col collapsed="false" customWidth="true" hidden="false" outlineLevel="0" max="6" min="6" style="1" width="26"/>
  </cols>
  <sheetData>
    <row r="1" customFormat="false" ht="36" hidden="false" customHeight="true" outlineLevel="0" collapsed="false">
      <c r="A1" s="2" t="s">
        <v>135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 t="s">
        <v>68</v>
      </c>
      <c r="C2" s="3" t="s">
        <v>69</v>
      </c>
      <c r="D2" s="3" t="s">
        <v>70</v>
      </c>
      <c r="E2" s="3" t="s">
        <v>136</v>
      </c>
      <c r="F2" s="3" t="s">
        <v>72</v>
      </c>
    </row>
    <row r="3" customFormat="false" ht="18" hidden="false" customHeight="true" outlineLevel="0" collapsed="false">
      <c r="A3" s="4" t="s">
        <v>137</v>
      </c>
      <c r="B3" s="4"/>
      <c r="C3" s="4"/>
      <c r="D3" s="4"/>
      <c r="E3" s="4"/>
      <c r="F3" s="4"/>
    </row>
    <row r="4" customFormat="false" ht="15.75" hidden="false" customHeight="true" outlineLevel="0" collapsed="false">
      <c r="A4" s="5" t="s">
        <v>138</v>
      </c>
      <c r="B4" s="7" t="n">
        <v>6000</v>
      </c>
      <c r="C4" s="7" t="n">
        <v>6360</v>
      </c>
      <c r="D4" s="7" t="n">
        <v>6742</v>
      </c>
      <c r="E4" s="5" t="s">
        <v>139</v>
      </c>
      <c r="F4" s="10" t="s">
        <v>140</v>
      </c>
    </row>
    <row r="5" customFormat="false" ht="15.75" hidden="false" customHeight="true" outlineLevel="0" collapsed="false">
      <c r="A5" s="11" t="s">
        <v>141</v>
      </c>
      <c r="B5" s="7" t="n">
        <v>600</v>
      </c>
      <c r="C5" s="7" t="n">
        <v>620</v>
      </c>
      <c r="D5" s="7" t="n">
        <v>640</v>
      </c>
      <c r="E5" s="11" t="s">
        <v>129</v>
      </c>
      <c r="F5" s="13" t="s">
        <v>142</v>
      </c>
    </row>
    <row r="6" customFormat="false" ht="18" hidden="false" customHeight="true" outlineLevel="0" collapsed="false">
      <c r="A6" s="4" t="s">
        <v>143</v>
      </c>
      <c r="B6" s="4"/>
      <c r="C6" s="4"/>
      <c r="D6" s="4"/>
      <c r="E6" s="4"/>
      <c r="F6" s="4"/>
    </row>
    <row r="7" customFormat="false" ht="15.75" hidden="false" customHeight="true" outlineLevel="0" collapsed="false">
      <c r="A7" s="5" t="s">
        <v>144</v>
      </c>
      <c r="B7" s="7" t="n">
        <v>4557</v>
      </c>
      <c r="C7" s="7" t="n">
        <v>4785</v>
      </c>
      <c r="D7" s="7" t="n">
        <v>5024</v>
      </c>
      <c r="E7" s="5" t="s">
        <v>145</v>
      </c>
      <c r="F7" s="10"/>
    </row>
    <row r="8" customFormat="false" ht="15.75" hidden="false" customHeight="true" outlineLevel="0" collapsed="false">
      <c r="A8" s="11" t="s">
        <v>146</v>
      </c>
      <c r="B8" s="7" t="n">
        <v>1800</v>
      </c>
      <c r="C8" s="7" t="n">
        <v>1850</v>
      </c>
      <c r="D8" s="7" t="n">
        <v>1910</v>
      </c>
      <c r="E8" s="11" t="s">
        <v>129</v>
      </c>
      <c r="F8" s="13" t="s">
        <v>147</v>
      </c>
    </row>
    <row r="9" customFormat="false" ht="15.75" hidden="false" customHeight="true" outlineLevel="0" collapsed="false">
      <c r="A9" s="5" t="s">
        <v>148</v>
      </c>
      <c r="B9" s="7" t="n">
        <v>960</v>
      </c>
      <c r="C9" s="7" t="n">
        <v>960</v>
      </c>
      <c r="D9" s="7" t="n">
        <v>960</v>
      </c>
      <c r="E9" s="5" t="s">
        <v>149</v>
      </c>
      <c r="F9" s="10" t="s">
        <v>150</v>
      </c>
    </row>
    <row r="10" customFormat="false" ht="15.75" hidden="false" customHeight="true" outlineLevel="0" collapsed="false">
      <c r="A10" s="11" t="s">
        <v>151</v>
      </c>
      <c r="B10" s="7" t="n">
        <v>1200</v>
      </c>
      <c r="C10" s="7" t="n">
        <v>1240</v>
      </c>
      <c r="D10" s="7" t="n">
        <v>1280</v>
      </c>
      <c r="E10" s="11" t="s">
        <v>152</v>
      </c>
      <c r="F10" s="13" t="s">
        <v>153</v>
      </c>
    </row>
    <row r="11" customFormat="false" ht="18" hidden="false" customHeight="true" outlineLevel="0" collapsed="false">
      <c r="A11" s="4" t="s">
        <v>154</v>
      </c>
      <c r="B11" s="4"/>
      <c r="C11" s="4"/>
      <c r="D11" s="4"/>
      <c r="E11" s="4"/>
      <c r="F11" s="4"/>
    </row>
    <row r="12" customFormat="false" ht="15.75" hidden="false" customHeight="true" outlineLevel="0" collapsed="false">
      <c r="A12" s="5" t="s">
        <v>155</v>
      </c>
      <c r="B12" s="7" t="n">
        <v>18000</v>
      </c>
      <c r="C12" s="7" t="n">
        <v>19800</v>
      </c>
      <c r="D12" s="7" t="n">
        <v>21780</v>
      </c>
      <c r="E12" s="5" t="s">
        <v>156</v>
      </c>
      <c r="F12" s="10" t="s">
        <v>157</v>
      </c>
    </row>
    <row r="13" customFormat="false" ht="15.75" hidden="false" customHeight="true" outlineLevel="0" collapsed="false">
      <c r="A13" s="11" t="s">
        <v>158</v>
      </c>
      <c r="B13" s="7" t="n">
        <v>9000</v>
      </c>
      <c r="C13" s="7" t="n">
        <v>9900</v>
      </c>
      <c r="D13" s="7" t="n">
        <v>10890</v>
      </c>
      <c r="E13" s="11" t="s">
        <v>156</v>
      </c>
      <c r="F13" s="13" t="s">
        <v>159</v>
      </c>
    </row>
    <row r="14" customFormat="false" ht="15.75" hidden="false" customHeight="true" outlineLevel="0" collapsed="false">
      <c r="A14" s="5" t="s">
        <v>160</v>
      </c>
      <c r="B14" s="7" t="n">
        <v>9000</v>
      </c>
      <c r="C14" s="7" t="n">
        <v>9900</v>
      </c>
      <c r="D14" s="7" t="n">
        <v>10890</v>
      </c>
      <c r="E14" s="5" t="s">
        <v>156</v>
      </c>
      <c r="F14" s="10" t="s">
        <v>161</v>
      </c>
    </row>
    <row r="15" customFormat="false" ht="15.75" hidden="false" customHeight="true" outlineLevel="0" collapsed="false">
      <c r="A15" s="11" t="s">
        <v>162</v>
      </c>
      <c r="B15" s="7" t="n">
        <v>3600</v>
      </c>
      <c r="C15" s="7" t="n">
        <v>3780</v>
      </c>
      <c r="D15" s="7" t="n">
        <v>3970</v>
      </c>
      <c r="E15" s="11" t="s">
        <v>163</v>
      </c>
      <c r="F15" s="13" t="s">
        <v>164</v>
      </c>
    </row>
    <row r="16" customFormat="false" ht="18" hidden="false" customHeight="true" outlineLevel="0" collapsed="false">
      <c r="A16" s="4" t="s">
        <v>165</v>
      </c>
      <c r="B16" s="4"/>
      <c r="C16" s="4"/>
      <c r="D16" s="4"/>
      <c r="E16" s="4"/>
      <c r="F16" s="4"/>
    </row>
    <row r="17" customFormat="false" ht="15.75" hidden="false" customHeight="true" outlineLevel="0" collapsed="false">
      <c r="A17" s="5" t="s">
        <v>166</v>
      </c>
      <c r="B17" s="7" t="n">
        <v>4840</v>
      </c>
      <c r="C17" s="7" t="n">
        <v>4840</v>
      </c>
      <c r="D17" s="7" t="n">
        <v>4840</v>
      </c>
      <c r="E17" s="5" t="s">
        <v>152</v>
      </c>
      <c r="F17" s="10" t="s">
        <v>167</v>
      </c>
    </row>
    <row r="18" customFormat="false" ht="15.75" hidden="false" customHeight="true" outlineLevel="0" collapsed="false">
      <c r="A18" s="11" t="s">
        <v>168</v>
      </c>
      <c r="B18" s="7" t="n">
        <v>3200</v>
      </c>
      <c r="C18" s="7" t="n">
        <v>3200</v>
      </c>
      <c r="D18" s="7" t="n">
        <v>3200</v>
      </c>
      <c r="E18" s="11" t="s">
        <v>152</v>
      </c>
      <c r="F18" s="13" t="s">
        <v>169</v>
      </c>
    </row>
    <row r="19" customFormat="false" ht="15.75" hidden="false" customHeight="true" outlineLevel="0" collapsed="false">
      <c r="A19" s="5" t="s">
        <v>170</v>
      </c>
      <c r="B19" s="7" t="n">
        <v>1600</v>
      </c>
      <c r="C19" s="7" t="n">
        <v>1600</v>
      </c>
      <c r="D19" s="7" t="n">
        <v>1600</v>
      </c>
      <c r="E19" s="5" t="s">
        <v>152</v>
      </c>
      <c r="F19" s="10" t="s">
        <v>171</v>
      </c>
    </row>
    <row r="20" customFormat="false" ht="15.75" hidden="false" customHeight="true" outlineLevel="0" collapsed="false">
      <c r="A20" s="11" t="s">
        <v>172</v>
      </c>
      <c r="B20" s="7" t="n">
        <v>400</v>
      </c>
      <c r="C20" s="7" t="n">
        <v>400</v>
      </c>
      <c r="D20" s="7" t="n">
        <v>400</v>
      </c>
      <c r="E20" s="11" t="s">
        <v>152</v>
      </c>
      <c r="F20" s="13" t="s">
        <v>173</v>
      </c>
    </row>
    <row r="21" customFormat="false" ht="15.75" hidden="false" customHeight="true" outlineLevel="0" collapsed="false">
      <c r="A21" s="5" t="s">
        <v>174</v>
      </c>
      <c r="B21" s="7" t="n">
        <v>240</v>
      </c>
      <c r="C21" s="7" t="n">
        <v>240</v>
      </c>
      <c r="D21" s="7" t="n">
        <v>240</v>
      </c>
      <c r="E21" s="5" t="s">
        <v>129</v>
      </c>
      <c r="F21" s="10" t="s">
        <v>175</v>
      </c>
    </row>
    <row r="22" customFormat="false" ht="18" hidden="false" customHeight="true" outlineLevel="0" collapsed="false">
      <c r="A22" s="4" t="s">
        <v>176</v>
      </c>
      <c r="B22" s="4"/>
      <c r="C22" s="4"/>
      <c r="D22" s="4"/>
      <c r="E22" s="4"/>
      <c r="F22" s="4"/>
    </row>
    <row r="23" customFormat="false" ht="15.75" hidden="false" customHeight="true" outlineLevel="0" collapsed="false">
      <c r="A23" s="11" t="s">
        <v>177</v>
      </c>
      <c r="B23" s="7" t="n">
        <v>6000</v>
      </c>
      <c r="C23" s="7" t="n">
        <v>6000</v>
      </c>
      <c r="D23" s="7" t="n">
        <v>6000</v>
      </c>
      <c r="E23" s="11" t="s">
        <v>129</v>
      </c>
      <c r="F23" s="13" t="s">
        <v>178</v>
      </c>
    </row>
    <row r="24" customFormat="false" ht="15.75" hidden="false" customHeight="true" outlineLevel="0" collapsed="false">
      <c r="A24" s="5" t="s">
        <v>179</v>
      </c>
      <c r="B24" s="7" t="n">
        <v>3600</v>
      </c>
      <c r="C24" s="7" t="n">
        <v>3600</v>
      </c>
      <c r="D24" s="7" t="n">
        <v>3600</v>
      </c>
      <c r="E24" s="5" t="s">
        <v>129</v>
      </c>
      <c r="F24" s="10" t="s">
        <v>180</v>
      </c>
    </row>
    <row r="25" customFormat="false" ht="15.75" hidden="false" customHeight="true" outlineLevel="0" collapsed="false">
      <c r="A25" s="11" t="s">
        <v>181</v>
      </c>
      <c r="B25" s="7" t="n">
        <v>4800</v>
      </c>
      <c r="C25" s="7" t="n">
        <v>4800</v>
      </c>
      <c r="D25" s="7" t="n">
        <v>4800</v>
      </c>
      <c r="E25" s="11" t="s">
        <v>129</v>
      </c>
      <c r="F25" s="13" t="s">
        <v>182</v>
      </c>
    </row>
    <row r="26" customFormat="false" ht="15.75" hidden="false" customHeight="true" outlineLevel="0" collapsed="false">
      <c r="A26" s="5" t="s">
        <v>183</v>
      </c>
      <c r="B26" s="7" t="n">
        <v>360</v>
      </c>
      <c r="C26" s="7" t="n">
        <v>360</v>
      </c>
      <c r="D26" s="7" t="n">
        <v>360</v>
      </c>
      <c r="E26" s="5" t="s">
        <v>129</v>
      </c>
      <c r="F26" s="10" t="s">
        <v>184</v>
      </c>
    </row>
    <row r="27" customFormat="false" ht="18" hidden="false" customHeight="true" outlineLevel="0" collapsed="false">
      <c r="A27" s="4" t="s">
        <v>185</v>
      </c>
      <c r="B27" s="4"/>
      <c r="C27" s="4"/>
      <c r="D27" s="4"/>
      <c r="E27" s="4"/>
      <c r="F27" s="4"/>
    </row>
    <row r="28" customFormat="false" ht="15.75" hidden="false" customHeight="true" outlineLevel="0" collapsed="false">
      <c r="A28" s="11" t="s">
        <v>186</v>
      </c>
      <c r="B28" s="7" t="n">
        <v>3600</v>
      </c>
      <c r="C28" s="7" t="n">
        <v>3600</v>
      </c>
      <c r="D28" s="7" t="n">
        <v>3600</v>
      </c>
      <c r="E28" s="11" t="s">
        <v>187</v>
      </c>
      <c r="F28" s="13" t="s">
        <v>188</v>
      </c>
    </row>
    <row r="29" customFormat="false" ht="15.75" hidden="false" customHeight="true" outlineLevel="0" collapsed="false">
      <c r="A29" s="5" t="s">
        <v>189</v>
      </c>
      <c r="B29" s="7" t="n">
        <v>1200</v>
      </c>
      <c r="C29" s="7" t="n">
        <v>1200</v>
      </c>
      <c r="D29" s="7" t="n">
        <v>1200</v>
      </c>
      <c r="E29" s="5" t="s">
        <v>187</v>
      </c>
      <c r="F29" s="10" t="s">
        <v>190</v>
      </c>
    </row>
    <row r="30" customFormat="false" ht="18" hidden="false" customHeight="true" outlineLevel="0" collapsed="false">
      <c r="A30" s="4" t="s">
        <v>191</v>
      </c>
      <c r="B30" s="4"/>
      <c r="C30" s="4"/>
      <c r="D30" s="4"/>
      <c r="E30" s="4"/>
      <c r="F30" s="4"/>
    </row>
    <row r="31" customFormat="false" ht="15.75" hidden="false" customHeight="true" outlineLevel="0" collapsed="false">
      <c r="A31" s="11" t="s">
        <v>192</v>
      </c>
      <c r="B31" s="7" t="n">
        <v>600</v>
      </c>
      <c r="C31" s="7" t="n">
        <v>600</v>
      </c>
      <c r="D31" s="7" t="n">
        <v>600</v>
      </c>
      <c r="E31" s="11" t="s">
        <v>129</v>
      </c>
      <c r="F31" s="13" t="s">
        <v>193</v>
      </c>
    </row>
    <row r="32" customFormat="false" ht="15.75" hidden="false" customHeight="true" outlineLevel="0" collapsed="false">
      <c r="A32" s="5" t="s">
        <v>194</v>
      </c>
      <c r="B32" s="7" t="n">
        <v>2400</v>
      </c>
      <c r="C32" s="7" t="n">
        <v>2000</v>
      </c>
      <c r="D32" s="7" t="n">
        <v>2000</v>
      </c>
      <c r="E32" s="5" t="s">
        <v>129</v>
      </c>
      <c r="F32" s="10" t="s">
        <v>195</v>
      </c>
    </row>
    <row r="33" customFormat="false" ht="15.75" hidden="false" customHeight="true" outlineLevel="0" collapsed="false">
      <c r="A33" s="11" t="s">
        <v>196</v>
      </c>
      <c r="B33" s="7" t="n">
        <v>900</v>
      </c>
      <c r="C33" s="7" t="n">
        <v>900</v>
      </c>
      <c r="D33" s="7" t="n">
        <v>900</v>
      </c>
      <c r="E33" s="11" t="s">
        <v>129</v>
      </c>
      <c r="F33" s="13" t="s">
        <v>197</v>
      </c>
    </row>
    <row r="34" customFormat="false" ht="21.75" hidden="false" customHeight="true" outlineLevel="0" collapsed="false">
      <c r="A34" s="14" t="s">
        <v>198</v>
      </c>
      <c r="B34" s="15" t="n">
        <f aca="false">SUM(B3:B33)</f>
        <v>88457</v>
      </c>
      <c r="C34" s="15" t="n">
        <f aca="false">SUM(C3:C33)</f>
        <v>92535</v>
      </c>
      <c r="D34" s="15" t="n">
        <f aca="false">SUM(D3:D33)</f>
        <v>97426</v>
      </c>
    </row>
  </sheetData>
  <mergeCells count="8">
    <mergeCell ref="A1:F1"/>
    <mergeCell ref="A3:F3"/>
    <mergeCell ref="A6:F6"/>
    <mergeCell ref="A11:F11"/>
    <mergeCell ref="A16:F16"/>
    <mergeCell ref="A22:F22"/>
    <mergeCell ref="A27:F27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4"/>
    <col collapsed="false" customWidth="true" hidden="false" outlineLevel="0" max="6" min="3" style="1" width="20"/>
    <col collapsed="false" customWidth="true" hidden="false" outlineLevel="0" max="7" min="7" style="1" width="18"/>
  </cols>
  <sheetData>
    <row r="1" customFormat="false" ht="49.5" hidden="false" customHeight="true" outlineLevel="0" collapsed="false">
      <c r="A1" s="16" t="s">
        <v>199</v>
      </c>
      <c r="B1" s="16"/>
      <c r="C1" s="16"/>
      <c r="D1" s="16"/>
      <c r="E1" s="16"/>
      <c r="F1" s="16"/>
      <c r="G1" s="16"/>
    </row>
    <row r="2" customFormat="false" ht="18" hidden="false" customHeight="true" outlineLevel="0" collapsed="false">
      <c r="A2" s="17" t="s">
        <v>200</v>
      </c>
      <c r="B2" s="17"/>
      <c r="C2" s="17"/>
      <c r="D2" s="17"/>
      <c r="E2" s="17"/>
      <c r="F2" s="17"/>
      <c r="G2" s="17"/>
    </row>
    <row r="4" customFormat="false" ht="18" hidden="false" customHeight="true" outlineLevel="0" collapsed="false">
      <c r="A4" s="4" t="s">
        <v>201</v>
      </c>
      <c r="B4" s="4"/>
      <c r="C4" s="4"/>
      <c r="D4" s="4"/>
      <c r="E4" s="4"/>
      <c r="F4" s="4"/>
      <c r="G4" s="4"/>
    </row>
    <row r="5" customFormat="false" ht="15.75" hidden="false" customHeight="true" outlineLevel="0" collapsed="false">
      <c r="A5" s="5" t="s">
        <v>202</v>
      </c>
      <c r="B5" s="18"/>
      <c r="C5" s="6" t="n">
        <v>1000</v>
      </c>
      <c r="D5" s="6"/>
      <c r="E5" s="18"/>
      <c r="F5" s="18"/>
      <c r="G5" s="18"/>
    </row>
    <row r="6" customFormat="false" ht="15.75" hidden="false" customHeight="true" outlineLevel="0" collapsed="false">
      <c r="A6" s="11" t="s">
        <v>203</v>
      </c>
      <c r="B6" s="19"/>
      <c r="C6" s="8" t="n">
        <v>0.3</v>
      </c>
      <c r="D6" s="8"/>
      <c r="E6" s="19"/>
      <c r="F6" s="19"/>
      <c r="G6" s="19"/>
    </row>
    <row r="7" customFormat="false" ht="15.75" hidden="false" customHeight="true" outlineLevel="0" collapsed="false">
      <c r="A7" s="5" t="s">
        <v>204</v>
      </c>
      <c r="B7" s="18"/>
      <c r="C7" s="20" t="s">
        <v>205</v>
      </c>
      <c r="D7" s="20"/>
      <c r="E7" s="18"/>
      <c r="F7" s="18"/>
      <c r="G7" s="18"/>
    </row>
    <row r="8" customFormat="false" ht="15.75" hidden="false" customHeight="true" outlineLevel="0" collapsed="false">
      <c r="A8" s="11" t="s">
        <v>206</v>
      </c>
      <c r="B8" s="19"/>
      <c r="C8" s="21" t="n">
        <v>0.065</v>
      </c>
      <c r="D8" s="21"/>
      <c r="E8" s="19"/>
      <c r="F8" s="19"/>
      <c r="G8" s="19"/>
    </row>
    <row r="9" customFormat="false" ht="15.75" hidden="false" customHeight="true" outlineLevel="0" collapsed="false">
      <c r="A9" s="5" t="s">
        <v>207</v>
      </c>
      <c r="B9" s="18"/>
      <c r="C9" s="22" t="n">
        <v>3450</v>
      </c>
      <c r="D9" s="22"/>
      <c r="E9" s="18"/>
      <c r="F9" s="18"/>
      <c r="G9" s="18"/>
    </row>
    <row r="10" customFormat="false" ht="15.75" hidden="false" customHeight="true" outlineLevel="0" collapsed="false">
      <c r="A10" s="11" t="s">
        <v>208</v>
      </c>
      <c r="B10" s="19"/>
      <c r="C10" s="7" t="n">
        <v>9210</v>
      </c>
      <c r="D10" s="7"/>
      <c r="E10" s="19"/>
      <c r="F10" s="19"/>
      <c r="G10" s="19"/>
    </row>
    <row r="11" customFormat="false" ht="15.75" hidden="false" customHeight="true" outlineLevel="0" collapsed="false">
      <c r="A11" s="5" t="s">
        <v>209</v>
      </c>
      <c r="B11" s="18"/>
      <c r="C11" s="8" t="n">
        <v>0.1</v>
      </c>
      <c r="D11" s="8"/>
      <c r="E11" s="18"/>
      <c r="F11" s="18"/>
      <c r="G11" s="18"/>
    </row>
    <row r="13" customFormat="false" ht="15" hidden="false" customHeight="true" outlineLevel="0" collapsed="false">
      <c r="A13" s="3" t="s">
        <v>210</v>
      </c>
      <c r="B13" s="3"/>
      <c r="C13" s="3" t="s">
        <v>211</v>
      </c>
      <c r="D13" s="3" t="s">
        <v>212</v>
      </c>
      <c r="E13" s="3" t="s">
        <v>213</v>
      </c>
      <c r="F13" s="3" t="s">
        <v>214</v>
      </c>
      <c r="G13" s="3" t="s">
        <v>215</v>
      </c>
    </row>
    <row r="14" customFormat="false" ht="16.5" hidden="false" customHeight="true" outlineLevel="0" collapsed="false">
      <c r="A14" s="5" t="s">
        <v>216</v>
      </c>
      <c r="B14" s="18"/>
      <c r="C14" s="9" t="n">
        <f aca="false">Hardware!E34</f>
        <v>193100</v>
      </c>
      <c r="D14" s="9" t="n">
        <f aca="false">Hardware!F34</f>
        <v>0</v>
      </c>
      <c r="E14" s="9" t="n">
        <f aca="false">Hardware!G34</f>
        <v>0</v>
      </c>
      <c r="F14" s="9" t="n">
        <f aca="false">SUM(C14:E14)</f>
        <v>193100</v>
      </c>
      <c r="G14" s="23" t="n">
        <f aca="false">IFERROR(F14/F24,"-")</f>
        <v>0.338252208273674</v>
      </c>
    </row>
    <row r="15" customFormat="false" ht="16.5" hidden="false" customHeight="true" outlineLevel="0" collapsed="false">
      <c r="A15" s="11" t="s">
        <v>217</v>
      </c>
      <c r="B15" s="19"/>
      <c r="C15" s="12" t="n">
        <f aca="false">Software!B33</f>
        <v>18020</v>
      </c>
      <c r="D15" s="12" t="n">
        <f aca="false">Software!C33</f>
        <v>14720</v>
      </c>
      <c r="E15" s="12" t="n">
        <f aca="false">Software!D33</f>
        <v>14720</v>
      </c>
      <c r="F15" s="12" t="n">
        <f aca="false">SUM(C15:E15)</f>
        <v>47460</v>
      </c>
      <c r="G15" s="23" t="n">
        <f aca="false">IFERROR(F15/F24,"-")</f>
        <v>0.0831354210495523</v>
      </c>
    </row>
    <row r="16" customFormat="false" ht="16.5" hidden="false" customHeight="true" outlineLevel="0" collapsed="false">
      <c r="A16" s="5" t="s">
        <v>218</v>
      </c>
      <c r="B16" s="18"/>
      <c r="C16" s="9" t="n">
        <f aca="false">SUM(OpEx!B4:B5)</f>
        <v>6600</v>
      </c>
      <c r="D16" s="9" t="n">
        <f aca="false">SUM(OpEx!C4:C5)</f>
        <v>6980</v>
      </c>
      <c r="E16" s="9" t="n">
        <f aca="false">SUM(OpEx!D4:D5)</f>
        <v>7382</v>
      </c>
      <c r="F16" s="9" t="n">
        <f aca="false">SUM(C16:E16)</f>
        <v>20962</v>
      </c>
      <c r="G16" s="23" t="n">
        <f aca="false">IFERROR(F16/F24,"-")</f>
        <v>0.0367190201441364</v>
      </c>
    </row>
    <row r="17" customFormat="false" ht="16.5" hidden="false" customHeight="true" outlineLevel="0" collapsed="false">
      <c r="A17" s="11" t="s">
        <v>219</v>
      </c>
      <c r="B17" s="19"/>
      <c r="C17" s="12" t="n">
        <f aca="false">SUM(OpEx!B7:B10)</f>
        <v>8517</v>
      </c>
      <c r="D17" s="12" t="n">
        <f aca="false">SUM(OpEx!C7:C10)</f>
        <v>8835</v>
      </c>
      <c r="E17" s="12" t="n">
        <f aca="false">SUM(OpEx!D7:D10)</f>
        <v>9174</v>
      </c>
      <c r="F17" s="12" t="n">
        <f aca="false">SUM(C17:E17)</f>
        <v>26526</v>
      </c>
      <c r="G17" s="23" t="n">
        <f aca="false">IFERROR(F17/F24,"-")</f>
        <v>0.0464654483514628</v>
      </c>
    </row>
    <row r="18" customFormat="false" ht="16.5" hidden="false" customHeight="true" outlineLevel="0" collapsed="false">
      <c r="A18" s="5" t="s">
        <v>220</v>
      </c>
      <c r="B18" s="18"/>
      <c r="C18" s="9" t="n">
        <f aca="false">SUM(OpEx!B12:B15)</f>
        <v>39600</v>
      </c>
      <c r="D18" s="9" t="n">
        <f aca="false">SUM(OpEx!C12:C15)</f>
        <v>43380</v>
      </c>
      <c r="E18" s="9" t="n">
        <f aca="false">SUM(OpEx!D12:D15)</f>
        <v>47530</v>
      </c>
      <c r="F18" s="9" t="n">
        <f aca="false">SUM(C18:E18)</f>
        <v>130510</v>
      </c>
      <c r="G18" s="23" t="n">
        <f aca="false">IFERROR(F18/F24,"-")</f>
        <v>0.22861364941376</v>
      </c>
    </row>
    <row r="19" customFormat="false" ht="16.5" hidden="false" customHeight="true" outlineLevel="0" collapsed="false">
      <c r="A19" s="11" t="s">
        <v>221</v>
      </c>
      <c r="B19" s="19"/>
      <c r="C19" s="12" t="n">
        <f aca="false">SUM(OpEx!B17:B21)</f>
        <v>10280</v>
      </c>
      <c r="D19" s="12" t="n">
        <f aca="false">SUM(OpEx!C17:C21)</f>
        <v>10280</v>
      </c>
      <c r="E19" s="12" t="n">
        <f aca="false">SUM(OpEx!D17:D21)</f>
        <v>10280</v>
      </c>
      <c r="F19" s="12" t="n">
        <f aca="false">SUM(C19:E19)</f>
        <v>30840</v>
      </c>
      <c r="G19" s="23" t="n">
        <f aca="false">IFERROR(F19/F24,"-")</f>
        <v>0.0540222584316939</v>
      </c>
    </row>
    <row r="20" customFormat="false" ht="16.5" hidden="false" customHeight="true" outlineLevel="0" collapsed="false">
      <c r="A20" s="5" t="s">
        <v>222</v>
      </c>
      <c r="B20" s="18"/>
      <c r="C20" s="9" t="n">
        <f aca="false">SUM(OpEx!B23:B26)</f>
        <v>14760</v>
      </c>
      <c r="D20" s="9" t="n">
        <f aca="false">SUM(OpEx!C23:C26)</f>
        <v>14760</v>
      </c>
      <c r="E20" s="9" t="n">
        <f aca="false">SUM(OpEx!D23:D26)</f>
        <v>14760</v>
      </c>
      <c r="F20" s="9" t="n">
        <f aca="false">SUM(C20:E20)</f>
        <v>44280</v>
      </c>
      <c r="G20" s="23" t="n">
        <f aca="false">IFERROR(F20/F24,"-")</f>
        <v>0.077565032534222</v>
      </c>
    </row>
    <row r="21" customFormat="false" ht="16.5" hidden="false" customHeight="true" outlineLevel="0" collapsed="false">
      <c r="A21" s="11" t="s">
        <v>223</v>
      </c>
      <c r="B21" s="19"/>
      <c r="C21" s="12" t="n">
        <f aca="false">SUM(OpEx!B28:B29)</f>
        <v>4800</v>
      </c>
      <c r="D21" s="12" t="n">
        <f aca="false">SUM(OpEx!C28:C29)</f>
        <v>4800</v>
      </c>
      <c r="E21" s="12" t="n">
        <f aca="false">SUM(OpEx!D28:D29)</f>
        <v>4800</v>
      </c>
      <c r="F21" s="12" t="n">
        <f aca="false">SUM(C21:E21)</f>
        <v>14400</v>
      </c>
      <c r="G21" s="23" t="n">
        <f aca="false">IFERROR(F21/F24,"-")</f>
        <v>0.0252244008241372</v>
      </c>
    </row>
    <row r="22" customFormat="false" ht="16.5" hidden="false" customHeight="true" outlineLevel="0" collapsed="false">
      <c r="A22" s="5" t="s">
        <v>224</v>
      </c>
      <c r="B22" s="18"/>
      <c r="C22" s="9" t="n">
        <f aca="false">SUM(OpEx!B31:B33)</f>
        <v>3900</v>
      </c>
      <c r="D22" s="9" t="n">
        <f aca="false">SUM(OpEx!C31:C33)</f>
        <v>3500</v>
      </c>
      <c r="E22" s="9" t="n">
        <f aca="false">SUM(OpEx!D31:D33)</f>
        <v>3500</v>
      </c>
      <c r="F22" s="9" t="n">
        <f aca="false">SUM(C22:E22)</f>
        <v>10900</v>
      </c>
      <c r="G22" s="23" t="n">
        <f aca="false">IFERROR(F22/F24,"-")</f>
        <v>0.0190934700682705</v>
      </c>
    </row>
    <row r="23" customFormat="false" ht="16.5" hidden="false" customHeight="true" outlineLevel="0" collapsed="false">
      <c r="A23" s="24" t="s">
        <v>225</v>
      </c>
      <c r="B23" s="25"/>
      <c r="C23" s="26" t="n">
        <f aca="false">SUM(C14:C22)*C11</f>
        <v>29957.7</v>
      </c>
      <c r="D23" s="26" t="n">
        <f aca="false">SUM(D14:D22)*C11</f>
        <v>10725.5</v>
      </c>
      <c r="E23" s="26" t="n">
        <f aca="false">SUM(E14:E22)*C11</f>
        <v>11214.6</v>
      </c>
      <c r="F23" s="26" t="n">
        <f aca="false">SUM(C23:E23)</f>
        <v>51897.8</v>
      </c>
      <c r="G23" s="23" t="n">
        <f aca="false">IFERROR(F23/F24,"-")</f>
        <v>0.0909090909090909</v>
      </c>
    </row>
    <row r="24" customFormat="false" ht="24" hidden="false" customHeight="true" outlineLevel="0" collapsed="false">
      <c r="A24" s="14" t="s">
        <v>226</v>
      </c>
      <c r="B24" s="27"/>
      <c r="C24" s="15" t="n">
        <f aca="false">SUM(C14:C23)</f>
        <v>329534.7</v>
      </c>
      <c r="D24" s="15" t="n">
        <f aca="false">SUM(D14:D23)</f>
        <v>117980.5</v>
      </c>
      <c r="E24" s="15" t="n">
        <f aca="false">SUM(E14:E23)</f>
        <v>123360.6</v>
      </c>
      <c r="F24" s="15" t="n">
        <f aca="false">SUM(F14:F23)</f>
        <v>570875.8</v>
      </c>
    </row>
    <row r="26" customFormat="false" ht="15" hidden="false" customHeight="true" outlineLevel="0" collapsed="false">
      <c r="A26" s="4" t="s">
        <v>227</v>
      </c>
      <c r="B26" s="4"/>
      <c r="C26" s="4"/>
      <c r="D26" s="4"/>
      <c r="E26" s="4"/>
      <c r="F26" s="4"/>
      <c r="G26" s="4"/>
    </row>
    <row r="27" customFormat="false" ht="18" hidden="false" customHeight="true" outlineLevel="0" collapsed="false">
      <c r="A27" s="5" t="s">
        <v>228</v>
      </c>
      <c r="B27" s="18"/>
      <c r="C27" s="28" t="n">
        <f aca="false">F24/36</f>
        <v>15857.6611111111</v>
      </c>
      <c r="D27" s="28"/>
      <c r="E27" s="28"/>
      <c r="F27" s="18"/>
    </row>
    <row r="28" customFormat="false" ht="18" hidden="false" customHeight="true" outlineLevel="0" collapsed="false">
      <c r="A28" s="11" t="s">
        <v>229</v>
      </c>
      <c r="B28" s="19"/>
      <c r="C28" s="29" t="n">
        <f aca="false">F24/(3*365)</f>
        <v>521.347762557078</v>
      </c>
      <c r="D28" s="29"/>
      <c r="E28" s="29"/>
      <c r="F28" s="19"/>
    </row>
    <row r="29" customFormat="false" ht="18" hidden="false" customHeight="true" outlineLevel="0" collapsed="false">
      <c r="A29" s="5" t="s">
        <v>230</v>
      </c>
      <c r="B29" s="18"/>
      <c r="C29" s="28" t="n">
        <f aca="false">(F24/(3*365*1000))</f>
        <v>0.521347762557078</v>
      </c>
      <c r="D29" s="28"/>
      <c r="E29" s="28"/>
      <c r="F29" s="18"/>
    </row>
    <row r="30" customFormat="false" ht="18" hidden="false" customHeight="true" outlineLevel="0" collapsed="false">
      <c r="A30" s="11" t="s">
        <v>231</v>
      </c>
      <c r="B30" s="19"/>
      <c r="C30" s="29" t="n">
        <f aca="false">C10*36</f>
        <v>331560</v>
      </c>
      <c r="D30" s="29"/>
      <c r="E30" s="29"/>
      <c r="F30" s="19"/>
    </row>
    <row r="31" customFormat="false" ht="18" hidden="false" customHeight="true" outlineLevel="0" collapsed="false">
      <c r="A31" s="5" t="s">
        <v>232</v>
      </c>
      <c r="B31" s="18"/>
      <c r="C31" s="28" t="n">
        <f aca="false">(C10*36)-F24</f>
        <v>-239315.8</v>
      </c>
      <c r="D31" s="28"/>
      <c r="E31" s="28"/>
      <c r="F31" s="18"/>
    </row>
    <row r="32" customFormat="false" ht="18" hidden="false" customHeight="true" outlineLevel="0" collapsed="false">
      <c r="A32" s="11" t="s">
        <v>233</v>
      </c>
      <c r="B32" s="19"/>
      <c r="C32" s="30" t="n">
        <f aca="false">IFERROR(((C10*36)-F24)/(C10*36),"-")</f>
        <v>-0.72178730848112</v>
      </c>
      <c r="D32" s="30"/>
      <c r="E32" s="30"/>
      <c r="F32" s="19"/>
    </row>
    <row r="35" customFormat="false" ht="15" hidden="false" customHeight="true" outlineLevel="0" collapsed="false">
      <c r="A35" s="31" t="s">
        <v>234</v>
      </c>
      <c r="B35" s="31"/>
      <c r="C35" s="31"/>
      <c r="D35" s="31"/>
      <c r="E35" s="31"/>
      <c r="F35" s="31"/>
      <c r="G35" s="31"/>
    </row>
  </sheetData>
  <mergeCells count="18">
    <mergeCell ref="A1:G1"/>
    <mergeCell ref="A2:G2"/>
    <mergeCell ref="A4:G4"/>
    <mergeCell ref="C5:D5"/>
    <mergeCell ref="C6:D6"/>
    <mergeCell ref="C7:D7"/>
    <mergeCell ref="C8:D8"/>
    <mergeCell ref="C9:D9"/>
    <mergeCell ref="C10:D10"/>
    <mergeCell ref="C11:D11"/>
    <mergeCell ref="A26:G26"/>
    <mergeCell ref="C27:E27"/>
    <mergeCell ref="C28:E28"/>
    <mergeCell ref="C29:E29"/>
    <mergeCell ref="C30:E30"/>
    <mergeCell ref="C31:E31"/>
    <mergeCell ref="C32:E32"/>
    <mergeCell ref="A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8"/>
    <col collapsed="false" customWidth="true" hidden="false" outlineLevel="0" max="5" min="5" style="1" width="32"/>
  </cols>
  <sheetData>
    <row r="1" customFormat="false" ht="36" hidden="false" customHeight="true" outlineLevel="0" collapsed="false">
      <c r="A1" s="2" t="s">
        <v>235</v>
      </c>
      <c r="B1" s="2"/>
      <c r="C1" s="2"/>
      <c r="D1" s="2"/>
      <c r="E1" s="2"/>
    </row>
    <row r="2" customFormat="false" ht="16.5" hidden="false" customHeight="true" outlineLevel="0" collapsed="false">
      <c r="A2" s="4" t="s">
        <v>236</v>
      </c>
      <c r="B2" s="4"/>
      <c r="C2" s="4"/>
      <c r="D2" s="4"/>
      <c r="E2" s="4"/>
    </row>
    <row r="3" customFormat="false" ht="16.5" hidden="false" customHeight="true" outlineLevel="0" collapsed="false">
      <c r="A3" s="32" t="s">
        <v>237</v>
      </c>
      <c r="B3" s="32" t="s">
        <v>238</v>
      </c>
      <c r="C3" s="32" t="s">
        <v>239</v>
      </c>
      <c r="D3" s="32" t="s">
        <v>240</v>
      </c>
      <c r="E3" s="32" t="s">
        <v>72</v>
      </c>
    </row>
    <row r="4" customFormat="false" ht="16.5" hidden="false" customHeight="true" outlineLevel="0" collapsed="false">
      <c r="A4" s="10" t="s">
        <v>241</v>
      </c>
      <c r="B4" s="10" t="s">
        <v>242</v>
      </c>
      <c r="C4" s="10" t="s">
        <v>243</v>
      </c>
      <c r="D4" s="10" t="s">
        <v>244</v>
      </c>
      <c r="E4" s="10" t="s">
        <v>245</v>
      </c>
    </row>
    <row r="5" customFormat="false" ht="16.5" hidden="false" customHeight="true" outlineLevel="0" collapsed="false">
      <c r="A5" s="13" t="s">
        <v>246</v>
      </c>
      <c r="B5" s="13" t="s">
        <v>247</v>
      </c>
      <c r="C5" s="13" t="s">
        <v>248</v>
      </c>
      <c r="D5" s="13" t="s">
        <v>249</v>
      </c>
      <c r="E5" s="13" t="s">
        <v>250</v>
      </c>
    </row>
    <row r="6" customFormat="false" ht="16.5" hidden="false" customHeight="true" outlineLevel="0" collapsed="false">
      <c r="A6" s="10" t="s">
        <v>251</v>
      </c>
      <c r="B6" s="10" t="s">
        <v>252</v>
      </c>
      <c r="C6" s="10" t="s">
        <v>253</v>
      </c>
      <c r="D6" s="10" t="s">
        <v>254</v>
      </c>
      <c r="E6" s="10" t="s">
        <v>255</v>
      </c>
    </row>
    <row r="7" customFormat="false" ht="16.5" hidden="false" customHeight="true" outlineLevel="0" collapsed="false">
      <c r="A7" s="13" t="s">
        <v>256</v>
      </c>
      <c r="B7" s="13" t="s">
        <v>257</v>
      </c>
      <c r="C7" s="13" t="s">
        <v>258</v>
      </c>
      <c r="D7" s="13" t="s">
        <v>259</v>
      </c>
      <c r="E7" s="13" t="s">
        <v>260</v>
      </c>
    </row>
    <row r="8" customFormat="false" ht="16.5" hidden="false" customHeight="true" outlineLevel="0" collapsed="false">
      <c r="A8" s="10" t="s">
        <v>261</v>
      </c>
      <c r="B8" s="10" t="s">
        <v>262</v>
      </c>
      <c r="C8" s="10" t="s">
        <v>263</v>
      </c>
      <c r="D8" s="10" t="s">
        <v>264</v>
      </c>
      <c r="E8" s="10" t="s">
        <v>265</v>
      </c>
    </row>
    <row r="9" customFormat="false" ht="16.5" hidden="false" customHeight="true" outlineLevel="0" collapsed="false">
      <c r="A9" s="13" t="s">
        <v>266</v>
      </c>
      <c r="B9" s="13" t="s">
        <v>267</v>
      </c>
      <c r="C9" s="13" t="s">
        <v>268</v>
      </c>
      <c r="D9" s="13" t="s">
        <v>269</v>
      </c>
      <c r="E9" s="13" t="s">
        <v>270</v>
      </c>
    </row>
    <row r="10" customFormat="false" ht="16.5" hidden="false" customHeight="true" outlineLevel="0" collapsed="false">
      <c r="A10" s="10" t="s">
        <v>271</v>
      </c>
      <c r="B10" s="10" t="s">
        <v>272</v>
      </c>
      <c r="C10" s="10" t="s">
        <v>273</v>
      </c>
      <c r="D10" s="10" t="s">
        <v>274</v>
      </c>
      <c r="E10" s="10" t="s">
        <v>275</v>
      </c>
    </row>
    <row r="11" customFormat="false" ht="16.5" hidden="false" customHeight="true" outlineLevel="0" collapsed="false">
      <c r="A11" s="4" t="s">
        <v>276</v>
      </c>
      <c r="B11" s="4"/>
      <c r="C11" s="4"/>
      <c r="D11" s="4"/>
      <c r="E11" s="4"/>
    </row>
    <row r="12" customFormat="false" ht="16.5" hidden="false" customHeight="true" outlineLevel="0" collapsed="false">
      <c r="A12" s="32" t="s">
        <v>277</v>
      </c>
      <c r="B12" s="32" t="s">
        <v>278</v>
      </c>
      <c r="C12" s="32" t="s">
        <v>279</v>
      </c>
      <c r="D12" s="32" t="s">
        <v>280</v>
      </c>
      <c r="E12" s="32" t="s">
        <v>281</v>
      </c>
    </row>
    <row r="13" customFormat="false" ht="16.5" hidden="false" customHeight="true" outlineLevel="0" collapsed="false">
      <c r="A13" s="13" t="s">
        <v>282</v>
      </c>
      <c r="B13" s="13" t="s">
        <v>283</v>
      </c>
      <c r="C13" s="13" t="s">
        <v>284</v>
      </c>
      <c r="D13" s="13" t="s">
        <v>285</v>
      </c>
      <c r="E13" s="13" t="s">
        <v>286</v>
      </c>
    </row>
    <row r="14" customFormat="false" ht="16.5" hidden="false" customHeight="true" outlineLevel="0" collapsed="false">
      <c r="A14" s="10" t="s">
        <v>287</v>
      </c>
      <c r="B14" s="10" t="s">
        <v>288</v>
      </c>
      <c r="C14" s="10" t="s">
        <v>289</v>
      </c>
      <c r="D14" s="10" t="s">
        <v>290</v>
      </c>
      <c r="E14" s="10" t="s">
        <v>291</v>
      </c>
    </row>
    <row r="15" customFormat="false" ht="16.5" hidden="false" customHeight="true" outlineLevel="0" collapsed="false">
      <c r="A15" s="13" t="s">
        <v>292</v>
      </c>
      <c r="B15" s="13" t="s">
        <v>293</v>
      </c>
      <c r="C15" s="13" t="s">
        <v>294</v>
      </c>
      <c r="D15" s="13" t="s">
        <v>295</v>
      </c>
      <c r="E15" s="13" t="s">
        <v>296</v>
      </c>
    </row>
    <row r="16" customFormat="false" ht="16.5" hidden="false" customHeight="true" outlineLevel="0" collapsed="false">
      <c r="A16" s="10" t="s">
        <v>297</v>
      </c>
      <c r="B16" s="10" t="s">
        <v>298</v>
      </c>
      <c r="C16" s="10" t="s">
        <v>299</v>
      </c>
      <c r="D16" s="10" t="s">
        <v>300</v>
      </c>
      <c r="E16" s="10" t="s">
        <v>301</v>
      </c>
    </row>
    <row r="17" customFormat="false" ht="16.5" hidden="false" customHeight="true" outlineLevel="0" collapsed="false">
      <c r="A17" s="13" t="s">
        <v>302</v>
      </c>
      <c r="B17" s="13" t="s">
        <v>303</v>
      </c>
      <c r="C17" s="13" t="s">
        <v>304</v>
      </c>
      <c r="D17" s="13" t="s">
        <v>305</v>
      </c>
      <c r="E17" s="13" t="s">
        <v>306</v>
      </c>
    </row>
    <row r="18" customFormat="false" ht="16.5" hidden="false" customHeight="true" outlineLevel="0" collapsed="false">
      <c r="A18" s="10" t="s">
        <v>307</v>
      </c>
      <c r="B18" s="10" t="s">
        <v>308</v>
      </c>
      <c r="C18" s="10" t="s">
        <v>309</v>
      </c>
      <c r="D18" s="10" t="s">
        <v>310</v>
      </c>
      <c r="E18" s="10" t="s">
        <v>311</v>
      </c>
    </row>
    <row r="19" customFormat="false" ht="16.5" hidden="false" customHeight="true" outlineLevel="0" collapsed="false">
      <c r="A19" s="4" t="s">
        <v>312</v>
      </c>
      <c r="B19" s="4"/>
      <c r="C19" s="4"/>
      <c r="D19" s="4"/>
      <c r="E19" s="4"/>
    </row>
    <row r="20" customFormat="false" ht="16.5" hidden="false" customHeight="true" outlineLevel="0" collapsed="false">
      <c r="A20" s="32" t="s">
        <v>277</v>
      </c>
      <c r="B20" s="32" t="s">
        <v>313</v>
      </c>
      <c r="C20" s="32" t="s">
        <v>314</v>
      </c>
      <c r="D20" s="32" t="s">
        <v>315</v>
      </c>
      <c r="E20" s="32" t="s">
        <v>316</v>
      </c>
    </row>
    <row r="21" customFormat="false" ht="16.5" hidden="false" customHeight="true" outlineLevel="0" collapsed="false">
      <c r="A21" s="13" t="s">
        <v>317</v>
      </c>
      <c r="B21" s="13" t="s">
        <v>318</v>
      </c>
      <c r="C21" s="13" t="s">
        <v>319</v>
      </c>
      <c r="D21" s="13" t="s">
        <v>320</v>
      </c>
      <c r="E21" s="13" t="s">
        <v>321</v>
      </c>
    </row>
    <row r="22" customFormat="false" ht="16.5" hidden="false" customHeight="true" outlineLevel="0" collapsed="false">
      <c r="A22" s="10" t="s">
        <v>322</v>
      </c>
      <c r="B22" s="10" t="s">
        <v>318</v>
      </c>
      <c r="C22" s="10" t="s">
        <v>323</v>
      </c>
      <c r="D22" s="10" t="s">
        <v>324</v>
      </c>
      <c r="E22" s="10" t="s">
        <v>325</v>
      </c>
    </row>
    <row r="23" customFormat="false" ht="16.5" hidden="false" customHeight="true" outlineLevel="0" collapsed="false">
      <c r="A23" s="13" t="s">
        <v>326</v>
      </c>
      <c r="B23" s="13" t="s">
        <v>318</v>
      </c>
      <c r="C23" s="13" t="s">
        <v>327</v>
      </c>
      <c r="D23" s="13" t="s">
        <v>328</v>
      </c>
      <c r="E23" s="13" t="s">
        <v>329</v>
      </c>
    </row>
    <row r="24" customFormat="false" ht="16.5" hidden="false" customHeight="true" outlineLevel="0" collapsed="false">
      <c r="A24" s="10" t="s">
        <v>330</v>
      </c>
      <c r="B24" s="10" t="s">
        <v>331</v>
      </c>
      <c r="C24" s="10" t="s">
        <v>332</v>
      </c>
      <c r="D24" s="10" t="s">
        <v>333</v>
      </c>
      <c r="E24" s="10" t="s">
        <v>334</v>
      </c>
    </row>
    <row r="25" customFormat="false" ht="16.5" hidden="false" customHeight="true" outlineLevel="0" collapsed="false">
      <c r="A25" s="13" t="s">
        <v>335</v>
      </c>
      <c r="B25" s="13" t="s">
        <v>318</v>
      </c>
      <c r="C25" s="13" t="s">
        <v>336</v>
      </c>
      <c r="D25" s="13" t="s">
        <v>327</v>
      </c>
      <c r="E25" s="13" t="s">
        <v>337</v>
      </c>
    </row>
    <row r="26" customFormat="false" ht="16.5" hidden="false" customHeight="true" outlineLevel="0" collapsed="false">
      <c r="A26" s="10" t="s">
        <v>338</v>
      </c>
      <c r="B26" s="10" t="s">
        <v>339</v>
      </c>
      <c r="C26" s="10" t="s">
        <v>340</v>
      </c>
      <c r="D26" s="10" t="s">
        <v>320</v>
      </c>
      <c r="E26" s="10" t="s">
        <v>321</v>
      </c>
    </row>
    <row r="27" customFormat="false" ht="16.5" hidden="false" customHeight="true" outlineLevel="0" collapsed="false">
      <c r="A27" s="13" t="s">
        <v>341</v>
      </c>
      <c r="B27" s="13" t="s">
        <v>339</v>
      </c>
      <c r="C27" s="13" t="s">
        <v>342</v>
      </c>
      <c r="D27" s="13" t="s">
        <v>319</v>
      </c>
      <c r="E27" s="13" t="s">
        <v>343</v>
      </c>
    </row>
    <row r="28" customFormat="false" ht="16.5" hidden="false" customHeight="true" outlineLevel="0" collapsed="false">
      <c r="A28" s="10" t="s">
        <v>344</v>
      </c>
      <c r="B28" s="10" t="s">
        <v>269</v>
      </c>
      <c r="C28" s="10" t="s">
        <v>269</v>
      </c>
      <c r="D28" s="10" t="s">
        <v>345</v>
      </c>
      <c r="E28" s="10" t="s">
        <v>346</v>
      </c>
    </row>
    <row r="29" customFormat="false" ht="16.5" hidden="false" customHeight="true" outlineLevel="0" collapsed="false">
      <c r="A29" s="13" t="s">
        <v>347</v>
      </c>
      <c r="B29" s="13" t="s">
        <v>269</v>
      </c>
      <c r="C29" s="13" t="s">
        <v>269</v>
      </c>
      <c r="D29" s="13" t="s">
        <v>348</v>
      </c>
      <c r="E29" s="13" t="s">
        <v>349</v>
      </c>
    </row>
    <row r="30" customFormat="false" ht="16.5" hidden="false" customHeight="true" outlineLevel="0" collapsed="false">
      <c r="A30" s="10" t="s">
        <v>350</v>
      </c>
      <c r="B30" s="10" t="s">
        <v>269</v>
      </c>
      <c r="C30" s="10" t="s">
        <v>269</v>
      </c>
      <c r="D30" s="10" t="s">
        <v>351</v>
      </c>
      <c r="E30" s="10" t="s">
        <v>352</v>
      </c>
    </row>
    <row r="31" customFormat="false" ht="16.5" hidden="false" customHeight="true" outlineLevel="0" collapsed="false">
      <c r="A31" s="13" t="s">
        <v>353</v>
      </c>
      <c r="B31" s="13" t="s">
        <v>269</v>
      </c>
      <c r="C31" s="13" t="s">
        <v>269</v>
      </c>
      <c r="D31" s="13" t="s">
        <v>269</v>
      </c>
      <c r="E31" s="13" t="s">
        <v>354</v>
      </c>
    </row>
    <row r="32" customFormat="false" ht="16.5" hidden="false" customHeight="true" outlineLevel="0" collapsed="false">
      <c r="A32" s="4" t="s">
        <v>355</v>
      </c>
      <c r="B32" s="4"/>
      <c r="C32" s="4"/>
      <c r="D32" s="4"/>
      <c r="E32" s="4"/>
    </row>
    <row r="33" customFormat="false" ht="16.5" hidden="false" customHeight="true" outlineLevel="0" collapsed="false">
      <c r="A33" s="32" t="s">
        <v>356</v>
      </c>
      <c r="B33" s="32" t="s">
        <v>357</v>
      </c>
      <c r="C33" s="32" t="s">
        <v>358</v>
      </c>
      <c r="D33" s="32" t="s">
        <v>359</v>
      </c>
      <c r="E33" s="32" t="s">
        <v>360</v>
      </c>
    </row>
    <row r="34" customFormat="false" ht="16.5" hidden="false" customHeight="true" outlineLevel="0" collapsed="false">
      <c r="A34" s="10" t="s">
        <v>361</v>
      </c>
      <c r="B34" s="10" t="s">
        <v>362</v>
      </c>
      <c r="C34" s="10" t="s">
        <v>363</v>
      </c>
      <c r="D34" s="10" t="s">
        <v>364</v>
      </c>
      <c r="E34" s="10" t="s">
        <v>365</v>
      </c>
    </row>
    <row r="35" customFormat="false" ht="16.5" hidden="false" customHeight="true" outlineLevel="0" collapsed="false">
      <c r="A35" s="13" t="s">
        <v>366</v>
      </c>
      <c r="B35" s="13" t="s">
        <v>367</v>
      </c>
      <c r="C35" s="13" t="s">
        <v>368</v>
      </c>
      <c r="D35" s="13" t="s">
        <v>364</v>
      </c>
      <c r="E35" s="13" t="s">
        <v>369</v>
      </c>
    </row>
    <row r="36" customFormat="false" ht="16.5" hidden="false" customHeight="true" outlineLevel="0" collapsed="false">
      <c r="A36" s="10" t="s">
        <v>370</v>
      </c>
      <c r="B36" s="10" t="s">
        <v>371</v>
      </c>
      <c r="C36" s="10" t="s">
        <v>372</v>
      </c>
      <c r="D36" s="10" t="s">
        <v>364</v>
      </c>
      <c r="E36" s="10" t="s">
        <v>373</v>
      </c>
    </row>
    <row r="37" customFormat="false" ht="16.5" hidden="false" customHeight="true" outlineLevel="0" collapsed="false">
      <c r="A37" s="13" t="s">
        <v>374</v>
      </c>
      <c r="B37" s="13" t="s">
        <v>375</v>
      </c>
      <c r="C37" s="13" t="s">
        <v>362</v>
      </c>
      <c r="D37" s="13" t="s">
        <v>376</v>
      </c>
      <c r="E37" s="13" t="s">
        <v>377</v>
      </c>
    </row>
    <row r="38" customFormat="false" ht="16.5" hidden="false" customHeight="true" outlineLevel="0" collapsed="false">
      <c r="A38" s="10" t="s">
        <v>378</v>
      </c>
      <c r="B38" s="10" t="s">
        <v>375</v>
      </c>
      <c r="C38" s="10" t="s">
        <v>367</v>
      </c>
      <c r="D38" s="10" t="s">
        <v>379</v>
      </c>
      <c r="E38" s="10" t="s">
        <v>269</v>
      </c>
    </row>
    <row r="39" customFormat="false" ht="16.5" hidden="false" customHeight="true" outlineLevel="0" collapsed="false">
      <c r="A39" s="13" t="s">
        <v>380</v>
      </c>
      <c r="B39" s="13" t="s">
        <v>381</v>
      </c>
      <c r="C39" s="13" t="s">
        <v>382</v>
      </c>
      <c r="D39" s="13" t="s">
        <v>383</v>
      </c>
      <c r="E39" s="13" t="s">
        <v>384</v>
      </c>
    </row>
    <row r="40" customFormat="false" ht="16.5" hidden="false" customHeight="true" outlineLevel="0" collapsed="false">
      <c r="A40" s="4" t="s">
        <v>385</v>
      </c>
      <c r="B40" s="4"/>
      <c r="C40" s="4"/>
      <c r="D40" s="4"/>
      <c r="E40" s="4"/>
    </row>
    <row r="41" customFormat="false" ht="16.5" hidden="false" customHeight="true" outlineLevel="0" collapsed="false">
      <c r="A41" s="32" t="s">
        <v>386</v>
      </c>
      <c r="B41" s="32" t="s">
        <v>387</v>
      </c>
      <c r="C41" s="32" t="s">
        <v>388</v>
      </c>
      <c r="D41" s="32" t="s">
        <v>389</v>
      </c>
      <c r="E41" s="32" t="s">
        <v>390</v>
      </c>
    </row>
    <row r="42" customFormat="false" ht="16.5" hidden="false" customHeight="true" outlineLevel="0" collapsed="false">
      <c r="A42" s="10" t="s">
        <v>391</v>
      </c>
      <c r="B42" s="10" t="s">
        <v>392</v>
      </c>
      <c r="C42" s="10" t="s">
        <v>393</v>
      </c>
      <c r="D42" s="10" t="s">
        <v>394</v>
      </c>
      <c r="E42" s="10" t="s">
        <v>395</v>
      </c>
    </row>
    <row r="43" customFormat="false" ht="16.5" hidden="false" customHeight="true" outlineLevel="0" collapsed="false">
      <c r="A43" s="13" t="s">
        <v>396</v>
      </c>
      <c r="B43" s="13" t="s">
        <v>397</v>
      </c>
      <c r="C43" s="13" t="s">
        <v>398</v>
      </c>
      <c r="D43" s="13" t="s">
        <v>399</v>
      </c>
      <c r="E43" s="13" t="s">
        <v>400</v>
      </c>
    </row>
    <row r="44" customFormat="false" ht="16.5" hidden="false" customHeight="true" outlineLevel="0" collapsed="false">
      <c r="A44" s="10" t="s">
        <v>401</v>
      </c>
      <c r="B44" s="10" t="s">
        <v>402</v>
      </c>
      <c r="C44" s="10" t="s">
        <v>403</v>
      </c>
      <c r="D44" s="10" t="s">
        <v>404</v>
      </c>
      <c r="E44" s="10" t="s">
        <v>405</v>
      </c>
    </row>
    <row r="45" customFormat="false" ht="16.5" hidden="false" customHeight="true" outlineLevel="0" collapsed="false">
      <c r="A45" s="13" t="s">
        <v>406</v>
      </c>
      <c r="B45" s="13" t="s">
        <v>407</v>
      </c>
      <c r="C45" s="13" t="s">
        <v>408</v>
      </c>
      <c r="D45" s="13" t="s">
        <v>404</v>
      </c>
      <c r="E45" s="13" t="s">
        <v>409</v>
      </c>
    </row>
    <row r="46" customFormat="false" ht="16.5" hidden="false" customHeight="true" outlineLevel="0" collapsed="false">
      <c r="A46" s="10" t="s">
        <v>410</v>
      </c>
      <c r="B46" s="10" t="s">
        <v>411</v>
      </c>
      <c r="C46" s="10" t="s">
        <v>412</v>
      </c>
      <c r="D46" s="10" t="s">
        <v>413</v>
      </c>
      <c r="E46" s="10" t="s">
        <v>414</v>
      </c>
    </row>
  </sheetData>
  <mergeCells count="6">
    <mergeCell ref="A1:E1"/>
    <mergeCell ref="A2:E2"/>
    <mergeCell ref="A11:E11"/>
    <mergeCell ref="A19:E19"/>
    <mergeCell ref="A32:E32"/>
    <mergeCell ref="A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2026-03-20T05:15:57Z</dcterms:created>
  <dc:creator>openpyxl</dc:creator>
  <dc:description/>
  <dc:language>en-US</dc:language>
  <cp:lastModifiedBy/>
  <dcterms:modified xsi:type="dcterms:W3CDTF">2026-03-20T05:16:13Z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